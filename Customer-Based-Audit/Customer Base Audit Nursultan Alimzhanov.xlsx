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. analysis" sheetId="1" r:id="rId5"/>
    <sheet state="visible" name="C. analysis" sheetId="2" r:id="rId6"/>
    <sheet state="visible" name="3c analysis" sheetId="3" r:id="rId7"/>
    <sheet state="visible" name="Year summaries" sheetId="4" r:id="rId8"/>
    <sheet state="visible" name="Answer page" sheetId="5" r:id="rId9"/>
  </sheets>
  <definedNames/>
  <calcPr/>
</workbook>
</file>

<file path=xl/sharedStrings.xml><?xml version="1.0" encoding="utf-8"?>
<sst xmlns="http://schemas.openxmlformats.org/spreadsheetml/2006/main" count="188" uniqueCount="81">
  <si>
    <t>Decile</t>
  </si>
  <si>
    <t># Customers</t>
  </si>
  <si>
    <t>Total Transactions</t>
  </si>
  <si>
    <t>Revenue</t>
  </si>
  <si>
    <t>Profit</t>
  </si>
  <si>
    <t>Total</t>
  </si>
  <si>
    <t>% Customers</t>
  </si>
  <si>
    <t>% Transactions</t>
  </si>
  <si>
    <t>% Revenue</t>
  </si>
  <si>
    <t>% Profit</t>
  </si>
  <si>
    <t>Avg spend/cust</t>
  </si>
  <si>
    <t>Avg profit/cust</t>
  </si>
  <si>
    <t>AOF</t>
  </si>
  <si>
    <t>AOV</t>
  </si>
  <si>
    <t>Avg margin</t>
  </si>
  <si>
    <t>Quarter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</si>
  <si>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</si>
  <si>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</si>
  <si>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</si>
  <si>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</si>
  <si>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</si>
  <si>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</si>
  <si>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</si>
  <si>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</si>
  <si>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</si>
  <si>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</si>
  <si>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</si>
  <si>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</si>
  <si>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</si>
  <si>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</si>
  <si>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</si>
  <si>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</si>
  <si>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% active</t>
  </si>
  <si>
    <t>Avg spend/active customer</t>
  </si>
  <si>
    <t>Q3 2021</t>
  </si>
  <si>
    <t>Q4 2021</t>
  </si>
  <si>
    <t>Q4 2022</t>
  </si>
  <si>
    <t>Pre-2021</t>
  </si>
  <si>
    <t>1. How many customers does KazMarket really have?</t>
  </si>
  <si>
    <t>KazMarket has 31,797 customers in total.</t>
  </si>
  <si>
    <t>In this analysis, a customer is defined as a unique customer ID that made at least one transaction in the dataset.</t>
  </si>
  <si>
    <t>The Decile analysis divides the customer base into 10 equal groups of about 3,180 customers each, confirming that the total customer base is approximately 31.8 thousand customers.</t>
  </si>
  <si>
    <t>2. What behaviors explain the differences between the most and least profitable customers?</t>
  </si>
  <si>
    <t>Customer profitability is mainly driven by purchase frequency and spending volume.</t>
  </si>
  <si>
    <t>For example:</t>
  </si>
  <si>
    <t>Top decile (Decile 1)</t>
  </si>
  <si>
    <t>Bottom decile (Decile 10)</t>
  </si>
  <si>
    <t>Customers: 3,180</t>
  </si>
  <si>
    <t>Customers: 3,186</t>
  </si>
  <si>
    <t>Transactions: 17,503</t>
  </si>
  <si>
    <t>Transactions: 3,270</t>
  </si>
  <si>
    <t>Revenue: 128,952,505</t>
  </si>
  <si>
    <t>Revenue: 3,740,550</t>
  </si>
  <si>
    <t>This means that the most valuable customers make over five times more transactions and generate almost 40% of total revenue, while the least profitable customers contribute only about 1% of revenue.</t>
  </si>
  <si>
    <t>Therefore, the key behavioral differences are: higher purchase frequency; larger spending per customer; repeated transactions.</t>
  </si>
  <si>
    <t>3. How do you evaluate the health of KazMarket’s customer base?</t>
  </si>
  <si>
    <t>The customer base appears moderately healthy but highly concentrated.</t>
  </si>
  <si>
    <t>The Decile analysis shows that: the top 10% of customers generate about 39.6% of total revenue and lower deciles contribute significantly less revenue.</t>
  </si>
  <si>
    <t>Year summaries also indicate stable revenue generation across years, suggesting that the company maintains an active customer base.</t>
  </si>
  <si>
    <t>However, the strong concentration of revenue among top customers suggests that the company depends heavily on a relatively small segment of high-value customers.</t>
  </si>
  <si>
    <t>4. One strength and one weakness of KazMarket’s customer base</t>
  </si>
  <si>
    <t>Strength</t>
  </si>
  <si>
    <t>KazMarket has a strong core group of loyal customers.</t>
  </si>
  <si>
    <t>The top decile alone generates nearly 40% of total revenue, which indicates that high-value customers are very engaged and make frequent purchases.</t>
  </si>
  <si>
    <t>Weakness</t>
  </si>
  <si>
    <t>Revenue is highly concentrated in a small group of customers.</t>
  </si>
  <si>
    <t>The lowest decile generates only about 1% of revenue, meaning a large portion of customers contributes very little to the business.</t>
  </si>
  <si>
    <t>5. How do you evaluate KazMarket’s potential for growth?</t>
  </si>
  <si>
    <t>KazMarket has good potential for growth.</t>
  </si>
  <si>
    <t>The company already has a large customer base of more than 31,000 customers, which provides opportunities to increase revenue by:</t>
  </si>
  <si>
    <t>improving retention</t>
  </si>
  <si>
    <t>encouraging repeat purchases</t>
  </si>
  <si>
    <t>converting low-value customers into more active buyers</t>
  </si>
  <si>
    <t>If the company successfully increases transaction frequency among middle and lower deciles, overall revenue could grow significantly.</t>
  </si>
  <si>
    <t>6. What other analyses could be conducted?</t>
  </si>
  <si>
    <t>One useful additional analysis would be Customer Lifetime Value (CLV).</t>
  </si>
  <si>
    <t>This analysis would estimate the long-term value of each customer segment and help identify which customers should receive:</t>
  </si>
  <si>
    <t>targeted promotions</t>
  </si>
  <si>
    <t>loyalty programs</t>
  </si>
  <si>
    <t>retention strategies</t>
  </si>
  <si>
    <t>Another useful analysis could be purchase frequency distribution, which would help identify how many customers make only one purchase versus multiple purchases.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</si>
</sst>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00000000000"/>
    <numFmt numFmtId="165" formatCode="0.0"/>
    <numFmt numFmtId="166" formatCode="[$$-409]#,##0"/>
    <numFmt numFmtId="167" formatCode="_(* #,##0_);_(* \(#,##0\);_(* &quot;-&quot;??_);_(@_)"/>
    <numFmt numFmtId="168" formatCode="_(* #,##0.0_);_(* \(#,##0.0\);_(* &quot;-&quot;??_);_(@_)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1.0"/>
      <color rgb="FFC00000"/>
      <name val="Calibri"/>
    </font>
    <font>
      <sz val="11.0"/>
      <color rgb="FFC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2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bottom style="thin">
        <color theme="1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theme="1"/>
      </bottom>
    </border>
    <border>
      <bottom style="double">
        <color theme="1"/>
      </bottom>
    </border>
    <border>
      <bottom style="double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0" fillId="0" fontId="2" numFmtId="10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right" vertical="bottom"/>
    </xf>
    <xf borderId="2" fillId="2" fontId="1" numFmtId="3" xfId="0" applyAlignment="1" applyBorder="1" applyFont="1" applyNumberFormat="1">
      <alignment horizontal="right" vertical="bottom"/>
    </xf>
    <xf borderId="0" fillId="3" fontId="2" numFmtId="0" xfId="0" applyAlignment="1" applyFill="1" applyFont="1">
      <alignment shrinkToFit="0" vertical="bottom" wrapText="1"/>
    </xf>
    <xf borderId="1" fillId="2" fontId="1" numFmtId="3" xfId="0" applyAlignment="1" applyBorder="1" applyFont="1" applyNumberFormat="1">
      <alignment horizontal="right" vertical="bottom"/>
    </xf>
    <xf borderId="0" fillId="0" fontId="2" numFmtId="9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3" fontId="2" numFmtId="4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0" fillId="3" fontId="2" numFmtId="166" xfId="0" applyAlignment="1" applyFont="1" applyNumberFormat="1">
      <alignment horizontal="right" vertical="bottom"/>
    </xf>
    <xf borderId="0" fillId="3" fontId="2" numFmtId="9" xfId="0" applyAlignment="1" applyFont="1" applyNumberFormat="1">
      <alignment horizontal="right" vertical="bottom"/>
    </xf>
    <xf borderId="3" fillId="2" fontId="1" numFmtId="0" xfId="0" applyAlignment="1" applyBorder="1" applyFont="1">
      <alignment horizontal="right" vertical="bottom"/>
    </xf>
    <xf borderId="3" fillId="2" fontId="1" numFmtId="3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horizontal="right" readingOrder="0" vertical="bottom"/>
    </xf>
    <xf borderId="0" fillId="0" fontId="2" numFmtId="3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6" fillId="0" fontId="1" numFmtId="9" xfId="0" applyAlignment="1" applyBorder="1" applyFont="1" applyNumberFormat="1">
      <alignment horizontal="right" vertical="bottom"/>
    </xf>
    <xf borderId="0" fillId="4" fontId="1" numFmtId="4" xfId="0" applyAlignment="1" applyFill="1" applyFont="1" applyNumberFormat="1">
      <alignment horizontal="right" vertical="bottom"/>
    </xf>
    <xf borderId="0" fillId="4" fontId="1" numFmtId="165" xfId="0" applyAlignment="1" applyFont="1" applyNumberFormat="1">
      <alignment horizontal="right" vertical="bottom"/>
    </xf>
    <xf borderId="0" fillId="4" fontId="1" numFmtId="166" xfId="0" applyAlignment="1" applyFont="1" applyNumberFormat="1">
      <alignment horizontal="right" vertical="bottom"/>
    </xf>
    <xf borderId="0" fillId="4" fontId="1" numFmtId="9" xfId="0" applyAlignment="1" applyFont="1" applyNumberFormat="1">
      <alignment horizontal="right" vertical="bottom"/>
    </xf>
    <xf borderId="0" fillId="5" fontId="1" numFmtId="4" xfId="0" applyAlignment="1" applyFill="1" applyFont="1" applyNumberFormat="1">
      <alignment horizontal="right" vertical="bottom"/>
    </xf>
    <xf borderId="0" fillId="5" fontId="1" numFmtId="165" xfId="0" applyAlignment="1" applyFont="1" applyNumberFormat="1">
      <alignment horizontal="right" vertical="bottom"/>
    </xf>
    <xf borderId="0" fillId="5" fontId="1" numFmtId="166" xfId="0" applyAlignment="1" applyFont="1" applyNumberFormat="1">
      <alignment horizontal="right" vertical="bottom"/>
    </xf>
    <xf borderId="0" fillId="5" fontId="1" numFmtId="9" xfId="0" applyAlignment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8" fillId="5" fontId="1" numFmtId="4" xfId="0" applyAlignment="1" applyBorder="1" applyFont="1" applyNumberFormat="1">
      <alignment horizontal="right" vertical="bottom"/>
    </xf>
    <xf borderId="8" fillId="5" fontId="1" numFmtId="165" xfId="0" applyAlignment="1" applyBorder="1" applyFont="1" applyNumberFormat="1">
      <alignment horizontal="right" vertical="bottom"/>
    </xf>
    <xf borderId="8" fillId="5" fontId="1" numFmtId="166" xfId="0" applyAlignment="1" applyBorder="1" applyFont="1" applyNumberFormat="1">
      <alignment horizontal="right" vertical="bottom"/>
    </xf>
    <xf borderId="8" fillId="5" fontId="1" numFmtId="9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2" fontId="1" numFmtId="0" xfId="0" applyAlignment="1" applyBorder="1" applyFont="1">
      <alignment horizontal="right" shrinkToFit="0" vertical="bottom" wrapText="1"/>
    </xf>
    <xf borderId="5" fillId="0" fontId="1" numFmtId="0" xfId="0" applyAlignment="1" applyBorder="1" applyFont="1">
      <alignment horizontal="right" shrinkToFit="0" vertical="bottom" wrapText="1"/>
    </xf>
    <xf borderId="6" fillId="0" fontId="1" numFmtId="0" xfId="0" applyAlignment="1" applyBorder="1" applyFont="1">
      <alignment horizontal="right" vertical="bottom"/>
    </xf>
    <xf borderId="6" fillId="0" fontId="1" numFmtId="3" xfId="0" applyAlignment="1" applyBorder="1" applyFont="1" applyNumberFormat="1">
      <alignment horizontal="right" vertical="bottom"/>
    </xf>
    <xf borderId="6" fillId="0" fontId="1" numFmtId="167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horizontal="right" vertical="bottom"/>
    </xf>
    <xf borderId="6" fillId="0" fontId="1" numFmtId="165" xfId="0" applyAlignment="1" applyBorder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1" fillId="2" fontId="1" numFmtId="4" xfId="0" applyAlignment="1" applyBorder="1" applyFont="1" applyNumberFormat="1">
      <alignment horizontal="right" shrinkToFit="0" vertical="bottom" wrapText="1"/>
    </xf>
    <xf borderId="1" fillId="2" fontId="1" numFmtId="4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1" fillId="2" fontId="2" numFmtId="3" xfId="0" applyAlignment="1" applyBorder="1" applyFont="1" applyNumberFormat="1">
      <alignment vertical="bottom"/>
    </xf>
    <xf borderId="3" fillId="2" fontId="1" numFmtId="4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shrinkToFit="0" vertical="bottom" wrapText="1"/>
    </xf>
    <xf borderId="0" fillId="0" fontId="2" numFmtId="168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9" fillId="0" fontId="1" numFmtId="167" xfId="0" applyAlignment="1" applyBorder="1" applyFont="1" applyNumberFormat="1">
      <alignment horizontal="right" vertical="bottom"/>
    </xf>
    <xf borderId="9" fillId="0" fontId="1" numFmtId="9" xfId="0" applyAlignment="1" applyBorder="1" applyFont="1" applyNumberFormat="1">
      <alignment horizontal="right" vertical="bottom"/>
    </xf>
    <xf borderId="9" fillId="0" fontId="1" numFmtId="1" xfId="0" applyAlignment="1" applyBorder="1" applyFont="1" applyNumberFormat="1">
      <alignment horizontal="right" vertical="bottom"/>
    </xf>
    <xf borderId="9" fillId="0" fontId="1" numFmtId="165" xfId="0" applyAlignment="1" applyBorder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1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10" fillId="3" fontId="1" numFmtId="0" xfId="0" applyAlignment="1" applyBorder="1" applyFont="1">
      <alignment horizontal="right" vertical="bottom"/>
    </xf>
    <xf borderId="11" fillId="3" fontId="1" numFmtId="0" xfId="0" applyAlignment="1" applyBorder="1" applyFont="1">
      <alignment horizontal="right" vertical="bottom"/>
    </xf>
    <xf borderId="0" fillId="3" fontId="1" numFmtId="3" xfId="0" applyAlignment="1" applyFont="1" applyNumberFormat="1">
      <alignment horizontal="right" vertical="bottom"/>
    </xf>
    <xf borderId="0" fillId="3" fontId="2" numFmtId="3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by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'D. analysis'!$B$1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'D. analysis'!$A$2:$A$11</c:f>
            </c:strRef>
          </c:cat>
          <c:val>
            <c:numRef>
              <c:f>'D. analysis'!$B$2:$B$11</c:f>
              <c:numCache/>
            </c:numRef>
          </c:val>
        </c:ser>
        <c:axId val="1764131990"/>
        <c:axId val="844958033"/>
      </c:barChart>
      <c:catAx>
        <c:axId val="1764131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958033"/>
      </c:catAx>
      <c:valAx>
        <c:axId val="844958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131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'D. analysis'!$D$1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'D. analysis'!$A$2:$A$11</c:f>
            </c:strRef>
          </c:cat>
          <c:val>
            <c:numRef>
              <c:f>'D. analysis'!$D$2:$D$11</c:f>
              <c:numCache/>
            </c:numRef>
          </c:val>
        </c:ser>
        <c:axId val="474191401"/>
        <c:axId val="1843254377"/>
      </c:barChart>
      <c:catAx>
        <c:axId val="474191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254377"/>
      </c:catAx>
      <c:valAx>
        <c:axId val="1843254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191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Transactions by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'D. analysis'!$C$1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'D. analysis'!$A$2:$A$11</c:f>
            </c:strRef>
          </c:cat>
          <c:val>
            <c:numRef>
              <c:f>'D. analysis'!$C$2:$C$11</c:f>
              <c:numCache/>
            </c:numRef>
          </c:val>
        </c:ser>
        <c:axId val="874287531"/>
        <c:axId val="316538423"/>
      </c:barChart>
      <c:catAx>
        <c:axId val="874287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538423"/>
      </c:catAx>
      <c:valAx>
        <c:axId val="316538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2875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39</xdr:row>
      <xdr:rowOff>95250</xdr:rowOff>
    </xdr:from>
    <xdr:ext cx="2343150" cy="1457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1343025</xdr:colOff>
      <xdr:row>39</xdr:row>
      <xdr:rowOff>95250</xdr:rowOff>
    </xdr:from>
    <xdr:ext cx="2343150" cy="1457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609600</xdr:colOff>
      <xdr:row>39</xdr:row>
      <xdr:rowOff>57150</xdr:rowOff>
    </xdr:from>
    <xdr:ext cx="2343150" cy="1457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4"/>
      <c r="J1" s="4"/>
      <c r="K1" s="4"/>
      <c r="L1" s="4"/>
      <c r="M1" s="4"/>
      <c r="N1" s="4"/>
      <c r="O1" s="4"/>
    </row>
    <row r="2">
      <c r="A2" s="5">
        <v>1.0</v>
      </c>
      <c r="B2" s="6">
        <v>3180.0</v>
      </c>
      <c r="C2" s="6">
        <v>17503.0</v>
      </c>
      <c r="D2" s="6">
        <v>1.28952505E8</v>
      </c>
      <c r="E2" s="6">
        <v>6.2160175E7</v>
      </c>
      <c r="F2" s="2"/>
      <c r="G2" s="4"/>
      <c r="H2" s="4"/>
      <c r="I2" s="4"/>
      <c r="J2" s="4"/>
      <c r="K2" s="7"/>
      <c r="L2" s="7"/>
      <c r="M2" s="7"/>
      <c r="N2" s="7"/>
      <c r="O2" s="4"/>
    </row>
    <row r="3">
      <c r="A3" s="1">
        <v>2.0</v>
      </c>
      <c r="B3" s="8">
        <v>3180.0</v>
      </c>
      <c r="C3" s="8">
        <v>8703.0</v>
      </c>
      <c r="D3" s="8">
        <v>5.5542905E7</v>
      </c>
      <c r="E3" s="8">
        <v>2.707903E7</v>
      </c>
      <c r="F3" s="9"/>
      <c r="G3" s="2"/>
      <c r="H3" s="2"/>
      <c r="I3" s="2"/>
      <c r="J3" s="10"/>
      <c r="K3" s="11"/>
      <c r="L3" s="12"/>
      <c r="M3" s="13"/>
      <c r="N3" s="14"/>
      <c r="O3" s="4"/>
    </row>
    <row r="4">
      <c r="A4" s="1">
        <v>3.0</v>
      </c>
      <c r="B4" s="8">
        <v>3177.0</v>
      </c>
      <c r="C4" s="8">
        <v>6345.0</v>
      </c>
      <c r="D4" s="8">
        <v>3.8274225E7</v>
      </c>
      <c r="E4" s="8">
        <v>1.8722055E7</v>
      </c>
      <c r="F4" s="9"/>
      <c r="G4" s="2"/>
      <c r="H4" s="2"/>
      <c r="I4" s="2"/>
      <c r="J4" s="10"/>
      <c r="K4" s="11"/>
      <c r="L4" s="12"/>
      <c r="M4" s="13"/>
      <c r="N4" s="14"/>
      <c r="O4" s="4"/>
    </row>
    <row r="5">
      <c r="A5" s="1">
        <v>4.0</v>
      </c>
      <c r="B5" s="8">
        <v>3178.0</v>
      </c>
      <c r="C5" s="8">
        <v>5349.0</v>
      </c>
      <c r="D5" s="8">
        <v>2.901701E7</v>
      </c>
      <c r="E5" s="8">
        <v>1.3916595E7</v>
      </c>
      <c r="F5" s="9"/>
      <c r="G5" s="2"/>
      <c r="H5" s="2"/>
      <c r="I5" s="2"/>
      <c r="J5" s="10"/>
      <c r="K5" s="11"/>
      <c r="L5" s="12"/>
      <c r="M5" s="13"/>
      <c r="N5" s="14"/>
      <c r="O5" s="4"/>
    </row>
    <row r="6">
      <c r="A6" s="1">
        <v>5.0</v>
      </c>
      <c r="B6" s="8">
        <v>3183.0</v>
      </c>
      <c r="C6" s="8">
        <v>4683.0</v>
      </c>
      <c r="D6" s="8">
        <v>2.2555225E7</v>
      </c>
      <c r="E6" s="8">
        <v>1.0734405E7</v>
      </c>
      <c r="F6" s="9"/>
      <c r="G6" s="2"/>
      <c r="H6" s="2"/>
      <c r="I6" s="2"/>
      <c r="J6" s="10"/>
      <c r="K6" s="11"/>
      <c r="L6" s="12"/>
      <c r="M6" s="13"/>
      <c r="N6" s="14"/>
      <c r="O6" s="4"/>
    </row>
    <row r="7">
      <c r="A7" s="1">
        <v>6.0</v>
      </c>
      <c r="B7" s="8">
        <v>3124.0</v>
      </c>
      <c r="C7" s="8">
        <v>4330.0</v>
      </c>
      <c r="D7" s="8">
        <v>1.7169955E7</v>
      </c>
      <c r="E7" s="8">
        <v>7948270.0</v>
      </c>
      <c r="F7" s="9"/>
      <c r="G7" s="2"/>
      <c r="H7" s="2"/>
      <c r="I7" s="2"/>
      <c r="J7" s="10"/>
      <c r="K7" s="11"/>
      <c r="L7" s="12"/>
      <c r="M7" s="13"/>
      <c r="N7" s="14"/>
      <c r="O7" s="4"/>
    </row>
    <row r="8">
      <c r="A8" s="1">
        <v>7.0</v>
      </c>
      <c r="B8" s="8">
        <v>3233.0</v>
      </c>
      <c r="C8" s="8">
        <v>4004.0</v>
      </c>
      <c r="D8" s="8">
        <v>1.347071E7</v>
      </c>
      <c r="E8" s="8">
        <v>6240025.0</v>
      </c>
      <c r="F8" s="9"/>
      <c r="G8" s="2"/>
      <c r="H8" s="2"/>
      <c r="I8" s="2"/>
      <c r="J8" s="10"/>
      <c r="K8" s="11"/>
      <c r="L8" s="12"/>
      <c r="M8" s="13"/>
      <c r="N8" s="14"/>
      <c r="O8" s="4"/>
    </row>
    <row r="9">
      <c r="A9" s="1">
        <v>8.0</v>
      </c>
      <c r="B9" s="8">
        <v>2996.0</v>
      </c>
      <c r="C9" s="8">
        <v>3414.0</v>
      </c>
      <c r="D9" s="8">
        <v>9381075.0</v>
      </c>
      <c r="E9" s="8">
        <v>4326685.0</v>
      </c>
      <c r="F9" s="9"/>
      <c r="G9" s="2"/>
      <c r="H9" s="2"/>
      <c r="I9" s="2"/>
      <c r="J9" s="10"/>
      <c r="K9" s="11"/>
      <c r="L9" s="12"/>
      <c r="M9" s="13"/>
      <c r="N9" s="14"/>
      <c r="O9" s="4"/>
    </row>
    <row r="10">
      <c r="A10" s="1">
        <v>9.0</v>
      </c>
      <c r="B10" s="8">
        <v>3360.0</v>
      </c>
      <c r="C10" s="8">
        <v>3659.0</v>
      </c>
      <c r="D10" s="8">
        <v>7496500.0</v>
      </c>
      <c r="E10" s="8">
        <v>3334100.0</v>
      </c>
      <c r="F10" s="9"/>
      <c r="G10" s="2"/>
      <c r="H10" s="2"/>
      <c r="I10" s="2"/>
      <c r="J10" s="10"/>
      <c r="K10" s="11"/>
      <c r="L10" s="12"/>
      <c r="M10" s="13"/>
      <c r="N10" s="14"/>
      <c r="O10" s="4"/>
    </row>
    <row r="11">
      <c r="A11" s="15">
        <v>10.0</v>
      </c>
      <c r="B11" s="16">
        <v>3186.0</v>
      </c>
      <c r="C11" s="16">
        <v>3270.0</v>
      </c>
      <c r="D11" s="16">
        <v>3740550.0</v>
      </c>
      <c r="E11" s="16">
        <v>1554795.0</v>
      </c>
      <c r="F11" s="9"/>
      <c r="G11" s="2"/>
      <c r="H11" s="2"/>
      <c r="I11" s="2"/>
      <c r="J11" s="10"/>
      <c r="K11" s="11"/>
      <c r="L11" s="12"/>
      <c r="M11" s="13"/>
      <c r="N11" s="14"/>
      <c r="O11" s="4"/>
    </row>
    <row r="12">
      <c r="A12" s="17" t="s">
        <v>5</v>
      </c>
      <c r="B12" s="8">
        <v>31797.0</v>
      </c>
      <c r="C12" s="8">
        <v>61260.0</v>
      </c>
      <c r="D12" s="8">
        <v>3.2560066E8</v>
      </c>
      <c r="E12" s="8">
        <v>1.56016135E8</v>
      </c>
      <c r="F12" s="9"/>
      <c r="G12" s="2"/>
      <c r="H12" s="2"/>
      <c r="I12" s="2"/>
      <c r="J12" s="10"/>
      <c r="K12" s="11"/>
      <c r="L12" s="12"/>
      <c r="M12" s="13"/>
      <c r="N12" s="14"/>
      <c r="O12" s="4"/>
    </row>
    <row r="13">
      <c r="A13" s="4"/>
      <c r="B13" s="18"/>
      <c r="C13" s="18"/>
      <c r="D13" s="18"/>
      <c r="E13" s="18"/>
      <c r="F13" s="2"/>
      <c r="G13" s="2"/>
      <c r="H13" s="2"/>
      <c r="I13" s="2"/>
      <c r="J13" s="10"/>
      <c r="K13" s="11"/>
      <c r="L13" s="12"/>
      <c r="M13" s="13"/>
      <c r="N13" s="14"/>
      <c r="O13" s="4"/>
    </row>
    <row r="14">
      <c r="A14" s="4"/>
      <c r="B14" s="4"/>
      <c r="C14" s="4"/>
      <c r="D14" s="4"/>
      <c r="E14" s="4"/>
      <c r="F14" s="2"/>
      <c r="G14" s="3"/>
      <c r="H14" s="3"/>
      <c r="I14" s="4"/>
      <c r="J14" s="4"/>
      <c r="K14" s="19"/>
      <c r="L14" s="19"/>
      <c r="M14" s="19"/>
      <c r="N14" s="19"/>
      <c r="O14" s="4"/>
    </row>
    <row r="15">
      <c r="A15" s="4"/>
      <c r="B15" s="4"/>
      <c r="C15" s="4"/>
      <c r="D15" s="4"/>
      <c r="E15" s="4"/>
      <c r="F15" s="2"/>
      <c r="G15" s="3"/>
      <c r="H15" s="3"/>
      <c r="I15" s="4"/>
      <c r="J15" s="4"/>
      <c r="K15" s="4"/>
      <c r="L15" s="4"/>
      <c r="M15" s="4"/>
      <c r="N15" s="4"/>
      <c r="O15" s="4"/>
    </row>
    <row r="16">
      <c r="A16" s="20" t="s">
        <v>0</v>
      </c>
      <c r="B16" s="20" t="s">
        <v>6</v>
      </c>
      <c r="C16" s="20" t="s">
        <v>7</v>
      </c>
      <c r="D16" s="20" t="s">
        <v>8</v>
      </c>
      <c r="E16" s="20" t="s">
        <v>9</v>
      </c>
      <c r="F16" s="21" t="s">
        <v>10</v>
      </c>
      <c r="G16" s="21" t="s">
        <v>11</v>
      </c>
      <c r="H16" s="21" t="s">
        <v>12</v>
      </c>
      <c r="I16" s="21" t="s">
        <v>13</v>
      </c>
      <c r="J16" s="21" t="s">
        <v>14</v>
      </c>
    </row>
    <row r="17">
      <c r="A17" s="22">
        <v>1.0</v>
      </c>
      <c r="B17" s="23">
        <f t="shared" ref="B17:B26" si="2">B2/$B$12</f>
        <v>0.1000094349</v>
      </c>
      <c r="C17" s="23">
        <f t="shared" ref="C17:C26" si="3">C2/$C$12</f>
        <v>0.2857166177</v>
      </c>
      <c r="D17" s="23">
        <f t="shared" ref="D17:D26" si="4">D2/$D$12</f>
        <v>0.3960449742</v>
      </c>
      <c r="E17" s="23">
        <f t="shared" ref="E17:E26" si="5">E2/$E$12</f>
        <v>0.3984214517</v>
      </c>
      <c r="F17" s="24">
        <f t="shared" ref="F17:F27" si="6">D2/B2</f>
        <v>40551.1022</v>
      </c>
      <c r="G17" s="24">
        <f t="shared" ref="G17:G27" si="7">E2/B2</f>
        <v>19547.22484</v>
      </c>
      <c r="H17" s="25">
        <f t="shared" ref="H17:J17" si="1">C2/B2</f>
        <v>5.50408805</v>
      </c>
      <c r="I17" s="26">
        <f t="shared" si="1"/>
        <v>7367.45158</v>
      </c>
      <c r="J17" s="27">
        <f t="shared" si="1"/>
        <v>0.4820392981</v>
      </c>
    </row>
    <row r="18">
      <c r="A18" s="22">
        <v>2.0</v>
      </c>
      <c r="B18" s="23">
        <f t="shared" si="2"/>
        <v>0.1000094349</v>
      </c>
      <c r="C18" s="23">
        <f t="shared" si="3"/>
        <v>0.1420666014</v>
      </c>
      <c r="D18" s="23">
        <f t="shared" si="4"/>
        <v>0.1705859718</v>
      </c>
      <c r="E18" s="23">
        <f t="shared" si="5"/>
        <v>0.1735655738</v>
      </c>
      <c r="F18" s="24">
        <f t="shared" si="6"/>
        <v>17466.32233</v>
      </c>
      <c r="G18" s="24">
        <f t="shared" si="7"/>
        <v>8515.418239</v>
      </c>
      <c r="H18" s="25">
        <f t="shared" ref="H18:J18" si="8">C3/B3</f>
        <v>2.736792453</v>
      </c>
      <c r="I18" s="26">
        <f t="shared" si="8"/>
        <v>6382.04125</v>
      </c>
      <c r="J18" s="27">
        <f t="shared" si="8"/>
        <v>0.4875335563</v>
      </c>
    </row>
    <row r="19">
      <c r="A19" s="22">
        <v>3.0</v>
      </c>
      <c r="B19" s="23">
        <f t="shared" si="2"/>
        <v>0.09991508633</v>
      </c>
      <c r="C19" s="23">
        <f t="shared" si="3"/>
        <v>0.1035749265</v>
      </c>
      <c r="D19" s="23">
        <f t="shared" si="4"/>
        <v>0.1175495928</v>
      </c>
      <c r="E19" s="23">
        <f t="shared" si="5"/>
        <v>0.1200007615</v>
      </c>
      <c r="F19" s="24">
        <f t="shared" si="6"/>
        <v>12047.28517</v>
      </c>
      <c r="G19" s="24">
        <f t="shared" si="7"/>
        <v>5892.998111</v>
      </c>
      <c r="H19" s="25">
        <f t="shared" ref="H19:J19" si="9">C4/B4</f>
        <v>1.997167139</v>
      </c>
      <c r="I19" s="26">
        <f t="shared" si="9"/>
        <v>6032.186761</v>
      </c>
      <c r="J19" s="27">
        <f t="shared" si="9"/>
        <v>0.4891556916</v>
      </c>
    </row>
    <row r="20">
      <c r="A20" s="22">
        <v>4.0</v>
      </c>
      <c r="B20" s="23">
        <f t="shared" si="2"/>
        <v>0.09994653584</v>
      </c>
      <c r="C20" s="23">
        <f t="shared" si="3"/>
        <v>0.08731635651</v>
      </c>
      <c r="D20" s="23">
        <f t="shared" si="4"/>
        <v>0.08911840044</v>
      </c>
      <c r="E20" s="23">
        <f t="shared" si="5"/>
        <v>0.08919971643</v>
      </c>
      <c r="F20" s="24">
        <f t="shared" si="6"/>
        <v>9130.58842</v>
      </c>
      <c r="G20" s="24">
        <f t="shared" si="7"/>
        <v>4379.04185</v>
      </c>
      <c r="H20" s="25">
        <f t="shared" ref="H20:J20" si="10">C5/B5</f>
        <v>1.683134047</v>
      </c>
      <c r="I20" s="26">
        <f t="shared" si="10"/>
        <v>5424.75416</v>
      </c>
      <c r="J20" s="27">
        <f t="shared" si="10"/>
        <v>0.4796012753</v>
      </c>
    </row>
    <row r="21">
      <c r="A21" s="22">
        <v>5.0</v>
      </c>
      <c r="B21" s="23">
        <f t="shared" si="2"/>
        <v>0.1001037834</v>
      </c>
      <c r="C21" s="23">
        <f t="shared" si="3"/>
        <v>0.0764446621</v>
      </c>
      <c r="D21" s="23">
        <f t="shared" si="4"/>
        <v>0.06927266364</v>
      </c>
      <c r="E21" s="23">
        <f t="shared" si="5"/>
        <v>0.06880317218</v>
      </c>
      <c r="F21" s="24">
        <f t="shared" si="6"/>
        <v>7086.153</v>
      </c>
      <c r="G21" s="24">
        <f t="shared" si="7"/>
        <v>3372.417531</v>
      </c>
      <c r="H21" s="25">
        <f t="shared" ref="H21:J21" si="11">C6/B6</f>
        <v>1.471253534</v>
      </c>
      <c r="I21" s="26">
        <f t="shared" si="11"/>
        <v>4816.405082</v>
      </c>
      <c r="J21" s="27">
        <f t="shared" si="11"/>
        <v>0.4759165559</v>
      </c>
    </row>
    <row r="22">
      <c r="A22" s="22">
        <v>6.0</v>
      </c>
      <c r="B22" s="23">
        <f t="shared" si="2"/>
        <v>0.09824826241</v>
      </c>
      <c r="C22" s="23">
        <f t="shared" si="3"/>
        <v>0.07068233758</v>
      </c>
      <c r="D22" s="23">
        <f t="shared" si="4"/>
        <v>0.05273317014</v>
      </c>
      <c r="E22" s="23">
        <f t="shared" si="5"/>
        <v>0.05094517948</v>
      </c>
      <c r="F22" s="28">
        <f t="shared" si="6"/>
        <v>5496.144366</v>
      </c>
      <c r="G22" s="28">
        <f t="shared" si="7"/>
        <v>2544.260563</v>
      </c>
      <c r="H22" s="29">
        <f t="shared" ref="H22:J22" si="12">C7/B7</f>
        <v>1.386043534</v>
      </c>
      <c r="I22" s="30">
        <f t="shared" si="12"/>
        <v>3965.347575</v>
      </c>
      <c r="J22" s="31">
        <f t="shared" si="12"/>
        <v>0.462917346</v>
      </c>
    </row>
    <row r="23">
      <c r="A23" s="22">
        <v>7.0</v>
      </c>
      <c r="B23" s="23">
        <f t="shared" si="2"/>
        <v>0.1016762588</v>
      </c>
      <c r="C23" s="23">
        <f t="shared" si="3"/>
        <v>0.06536075743</v>
      </c>
      <c r="D23" s="23">
        <f t="shared" si="4"/>
        <v>0.0413718756</v>
      </c>
      <c r="E23" s="23">
        <f t="shared" si="5"/>
        <v>0.03999602349</v>
      </c>
      <c r="F23" s="28">
        <f t="shared" si="6"/>
        <v>4166.628518</v>
      </c>
      <c r="G23" s="28">
        <f t="shared" si="7"/>
        <v>1930.103619</v>
      </c>
      <c r="H23" s="29">
        <f t="shared" ref="H23:J23" si="13">C8/B8</f>
        <v>1.238478194</v>
      </c>
      <c r="I23" s="30">
        <f t="shared" si="13"/>
        <v>3364.313187</v>
      </c>
      <c r="J23" s="31">
        <f t="shared" si="13"/>
        <v>0.4632291097</v>
      </c>
    </row>
    <row r="24">
      <c r="A24" s="22">
        <v>8.0</v>
      </c>
      <c r="B24" s="23">
        <f t="shared" si="2"/>
        <v>0.09422272541</v>
      </c>
      <c r="C24" s="23">
        <f t="shared" si="3"/>
        <v>0.05572967679</v>
      </c>
      <c r="D24" s="23">
        <f t="shared" si="4"/>
        <v>0.028811597</v>
      </c>
      <c r="E24" s="23">
        <f t="shared" si="5"/>
        <v>0.02773229192</v>
      </c>
      <c r="F24" s="28">
        <f t="shared" si="6"/>
        <v>3131.199933</v>
      </c>
      <c r="G24" s="28">
        <f t="shared" si="7"/>
        <v>1444.153872</v>
      </c>
      <c r="H24" s="29">
        <f t="shared" ref="H24:J24" si="14">C9/B9</f>
        <v>1.139519359</v>
      </c>
      <c r="I24" s="30">
        <f t="shared" si="14"/>
        <v>2747.825132</v>
      </c>
      <c r="J24" s="31">
        <f t="shared" si="14"/>
        <v>0.4612141999</v>
      </c>
    </row>
    <row r="25">
      <c r="A25" s="22">
        <v>9.0</v>
      </c>
      <c r="B25" s="23">
        <f t="shared" si="2"/>
        <v>0.1056703463</v>
      </c>
      <c r="C25" s="23">
        <f t="shared" si="3"/>
        <v>0.05972902383</v>
      </c>
      <c r="D25" s="23">
        <f t="shared" si="4"/>
        <v>0.02302360198</v>
      </c>
      <c r="E25" s="23">
        <f t="shared" si="5"/>
        <v>0.02137022559</v>
      </c>
      <c r="F25" s="28">
        <f t="shared" si="6"/>
        <v>2231.10119</v>
      </c>
      <c r="G25" s="28">
        <f t="shared" si="7"/>
        <v>992.2916667</v>
      </c>
      <c r="H25" s="29">
        <f t="shared" ref="H25:J25" si="15">C10/B10</f>
        <v>1.088988095</v>
      </c>
      <c r="I25" s="30">
        <f t="shared" si="15"/>
        <v>2048.783821</v>
      </c>
      <c r="J25" s="31">
        <f t="shared" si="15"/>
        <v>0.4447542186</v>
      </c>
    </row>
    <row r="26">
      <c r="A26" s="32">
        <v>10.0</v>
      </c>
      <c r="B26" s="23">
        <f t="shared" si="2"/>
        <v>0.1001981319</v>
      </c>
      <c r="C26" s="23">
        <f t="shared" si="3"/>
        <v>0.05337904016</v>
      </c>
      <c r="D26" s="23">
        <f t="shared" si="4"/>
        <v>0.01148815239</v>
      </c>
      <c r="E26" s="23">
        <f t="shared" si="5"/>
        <v>0.009965603878</v>
      </c>
      <c r="F26" s="33">
        <f t="shared" si="6"/>
        <v>1174.05838</v>
      </c>
      <c r="G26" s="33">
        <f t="shared" si="7"/>
        <v>488.0084746</v>
      </c>
      <c r="H26" s="34">
        <f t="shared" ref="H26:J26" si="16">C11/B11</f>
        <v>1.026365348</v>
      </c>
      <c r="I26" s="35">
        <f t="shared" si="16"/>
        <v>1143.899083</v>
      </c>
      <c r="J26" s="36">
        <f t="shared" si="16"/>
        <v>0.4156594618</v>
      </c>
    </row>
    <row r="27">
      <c r="A27" s="4"/>
      <c r="B27" s="4"/>
      <c r="C27" s="4"/>
      <c r="D27" s="4"/>
      <c r="E27" s="4"/>
      <c r="F27" s="37">
        <f t="shared" si="6"/>
        <v>10239.9805</v>
      </c>
      <c r="G27" s="37">
        <f t="shared" si="7"/>
        <v>4906.630657</v>
      </c>
      <c r="H27" s="38">
        <f t="shared" ref="H27:J27" si="17">C12/B12</f>
        <v>1.926596849</v>
      </c>
      <c r="I27" s="39">
        <f t="shared" si="17"/>
        <v>5315.061378</v>
      </c>
      <c r="J27" s="40">
        <f t="shared" si="17"/>
        <v>0.4791640625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15</v>
      </c>
      <c r="B1" s="41" t="s">
        <v>1</v>
      </c>
      <c r="C1" s="41" t="s">
        <v>2</v>
      </c>
      <c r="D1" s="41" t="s">
        <v>3</v>
      </c>
      <c r="E1" s="41" t="s">
        <v>4</v>
      </c>
      <c r="F1" s="4"/>
      <c r="G1" s="4"/>
      <c r="H1" s="4"/>
      <c r="I1" s="4"/>
    </row>
    <row r="2">
      <c r="A2" s="5" t="s">
        <v>16</v>
      </c>
      <c r="B2" s="6">
        <v>2943.0</v>
      </c>
      <c r="C2" s="6">
        <v>3683.0</v>
      </c>
      <c r="D2" s="6">
        <v>2.180398E7</v>
      </c>
      <c r="E2" s="6">
        <v>1.0398135E7</v>
      </c>
      <c r="F2" s="4"/>
      <c r="G2" s="4"/>
      <c r="H2" s="4"/>
      <c r="I2" s="4"/>
    </row>
    <row r="3">
      <c r="A3" s="1" t="s">
        <v>17</v>
      </c>
      <c r="B3" s="8">
        <v>346.0</v>
      </c>
      <c r="C3" s="8">
        <v>513.0</v>
      </c>
      <c r="D3" s="8">
        <v>2765015.0</v>
      </c>
      <c r="E3" s="8">
        <v>1386330.0</v>
      </c>
      <c r="F3" s="4"/>
      <c r="G3" s="4"/>
      <c r="H3" s="4"/>
      <c r="I3" s="4"/>
    </row>
    <row r="4">
      <c r="A4" s="1" t="s">
        <v>18</v>
      </c>
      <c r="B4" s="8">
        <v>313.0</v>
      </c>
      <c r="C4" s="8">
        <v>451.0</v>
      </c>
      <c r="D4" s="8">
        <v>2352130.0</v>
      </c>
      <c r="E4" s="8">
        <v>1173700.0</v>
      </c>
      <c r="F4" s="4"/>
      <c r="G4" s="4"/>
      <c r="H4" s="4"/>
      <c r="I4" s="4"/>
    </row>
    <row r="5">
      <c r="A5" s="1" t="s">
        <v>19</v>
      </c>
      <c r="B5" s="8">
        <v>485.0</v>
      </c>
      <c r="C5" s="8">
        <v>819.0</v>
      </c>
      <c r="D5" s="8">
        <v>4692930.0</v>
      </c>
      <c r="E5" s="8">
        <v>2335300.0</v>
      </c>
      <c r="F5" s="4"/>
      <c r="G5" s="4"/>
      <c r="H5" s="4"/>
      <c r="I5" s="4"/>
    </row>
    <row r="6">
      <c r="A6" s="1" t="s">
        <v>20</v>
      </c>
      <c r="B6" s="8">
        <v>296.0</v>
      </c>
      <c r="C6" s="8">
        <v>435.0</v>
      </c>
      <c r="D6" s="8">
        <v>2411530.0</v>
      </c>
      <c r="E6" s="8">
        <v>1161600.0</v>
      </c>
      <c r="F6" s="4"/>
      <c r="G6" s="4"/>
      <c r="H6" s="4"/>
      <c r="I6" s="4"/>
    </row>
    <row r="7">
      <c r="A7" s="1" t="s">
        <v>21</v>
      </c>
      <c r="B7" s="8">
        <v>286.0</v>
      </c>
      <c r="C7" s="8">
        <v>453.0</v>
      </c>
      <c r="D7" s="8">
        <v>2186470.0</v>
      </c>
      <c r="E7" s="8">
        <v>1074425.0</v>
      </c>
      <c r="F7" s="4"/>
      <c r="G7" s="4"/>
      <c r="H7" s="4"/>
      <c r="I7" s="4"/>
    </row>
    <row r="8">
      <c r="A8" s="1" t="s">
        <v>22</v>
      </c>
      <c r="B8" s="8">
        <v>245.0</v>
      </c>
      <c r="C8" s="8">
        <v>396.0</v>
      </c>
      <c r="D8" s="8">
        <v>2040280.0</v>
      </c>
      <c r="E8" s="8">
        <v>988295.0</v>
      </c>
      <c r="F8" s="4"/>
      <c r="G8" s="4"/>
      <c r="H8" s="4"/>
      <c r="I8" s="4"/>
    </row>
    <row r="9">
      <c r="A9" s="1" t="s">
        <v>23</v>
      </c>
      <c r="B9" s="8">
        <v>420.0</v>
      </c>
      <c r="C9" s="8">
        <v>808.0</v>
      </c>
      <c r="D9" s="8">
        <v>4619175.0</v>
      </c>
      <c r="E9" s="8">
        <v>2215950.0</v>
      </c>
      <c r="F9" s="4"/>
      <c r="G9" s="4"/>
      <c r="H9" s="4"/>
      <c r="I9" s="4"/>
    </row>
    <row r="10">
      <c r="A10" s="1" t="s">
        <v>24</v>
      </c>
      <c r="B10" s="8">
        <v>312.0</v>
      </c>
      <c r="C10" s="8">
        <v>481.0</v>
      </c>
      <c r="D10" s="8">
        <v>2391565.0</v>
      </c>
      <c r="E10" s="8">
        <v>1101815.0</v>
      </c>
      <c r="F10" s="4"/>
      <c r="G10" s="4"/>
      <c r="H10" s="4"/>
      <c r="I10" s="4"/>
    </row>
    <row r="11">
      <c r="A11" s="1" t="s">
        <v>25</v>
      </c>
      <c r="B11" s="8">
        <v>281.0</v>
      </c>
      <c r="C11" s="8">
        <v>462.0</v>
      </c>
      <c r="D11" s="8">
        <v>2061895.0</v>
      </c>
      <c r="E11" s="8">
        <v>960080.0</v>
      </c>
      <c r="F11" s="4"/>
      <c r="G11" s="4"/>
      <c r="H11" s="4"/>
      <c r="I11" s="4"/>
    </row>
    <row r="12">
      <c r="A12" s="1" t="s">
        <v>26</v>
      </c>
      <c r="B12" s="8">
        <v>220.0</v>
      </c>
      <c r="C12" s="8">
        <v>384.0</v>
      </c>
      <c r="D12" s="8">
        <v>1826220.0</v>
      </c>
      <c r="E12" s="8">
        <v>838310.0</v>
      </c>
      <c r="F12" s="4"/>
      <c r="G12" s="4"/>
      <c r="H12" s="4"/>
      <c r="I12" s="4"/>
    </row>
    <row r="13">
      <c r="A13" s="1" t="s">
        <v>27</v>
      </c>
      <c r="B13" s="8">
        <v>358.0</v>
      </c>
      <c r="C13" s="8">
        <v>722.0</v>
      </c>
      <c r="D13" s="8">
        <v>3652880.0</v>
      </c>
      <c r="E13" s="8">
        <v>1726835.0</v>
      </c>
      <c r="F13" s="4"/>
      <c r="G13" s="4"/>
      <c r="H13" s="4"/>
      <c r="I13" s="4"/>
    </row>
    <row r="14">
      <c r="A14" s="1" t="s">
        <v>28</v>
      </c>
      <c r="B14" s="8">
        <v>244.0</v>
      </c>
      <c r="C14" s="8">
        <v>397.0</v>
      </c>
      <c r="D14" s="8">
        <v>1945185.0</v>
      </c>
      <c r="E14" s="8">
        <v>908215.0</v>
      </c>
      <c r="F14" s="4"/>
      <c r="G14" s="4"/>
      <c r="H14" s="4"/>
      <c r="I14" s="4"/>
    </row>
    <row r="15">
      <c r="A15" s="1" t="s">
        <v>29</v>
      </c>
      <c r="B15" s="8">
        <v>236.0</v>
      </c>
      <c r="C15" s="8">
        <v>390.0</v>
      </c>
      <c r="D15" s="8">
        <v>1882925.0</v>
      </c>
      <c r="E15" s="8">
        <v>884840.0</v>
      </c>
      <c r="F15" s="4"/>
      <c r="G15" s="4"/>
      <c r="H15" s="4"/>
      <c r="I15" s="4"/>
    </row>
    <row r="16">
      <c r="A16" s="1" t="s">
        <v>30</v>
      </c>
      <c r="B16" s="8">
        <v>201.0</v>
      </c>
      <c r="C16" s="8">
        <v>338.0</v>
      </c>
      <c r="D16" s="8">
        <v>1504580.0</v>
      </c>
      <c r="E16" s="8">
        <v>703560.0</v>
      </c>
      <c r="F16" s="4"/>
      <c r="G16" s="4"/>
      <c r="H16" s="4"/>
      <c r="I16" s="4"/>
    </row>
    <row r="17">
      <c r="A17" s="15" t="s">
        <v>31</v>
      </c>
      <c r="B17" s="16">
        <v>353.0</v>
      </c>
      <c r="C17" s="16">
        <v>657.0</v>
      </c>
      <c r="D17" s="16">
        <v>3447070.0</v>
      </c>
      <c r="E17" s="16">
        <v>1627065.0</v>
      </c>
      <c r="F17" s="4"/>
      <c r="G17" s="4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2" t="s">
        <v>15</v>
      </c>
      <c r="B21" s="42" t="s">
        <v>1</v>
      </c>
      <c r="C21" s="42" t="s">
        <v>2</v>
      </c>
      <c r="D21" s="42" t="s">
        <v>3</v>
      </c>
      <c r="E21" s="42" t="s">
        <v>4</v>
      </c>
      <c r="F21" s="42" t="s">
        <v>32</v>
      </c>
      <c r="G21" s="42" t="s">
        <v>33</v>
      </c>
      <c r="H21" s="42" t="s">
        <v>12</v>
      </c>
      <c r="I21" s="42" t="s">
        <v>13</v>
      </c>
    </row>
    <row r="22">
      <c r="A22" s="43" t="str">
        <f t="shared" ref="A22:E22" si="1">A2</f>
        <v>2021Q1</v>
      </c>
      <c r="B22" s="44">
        <f t="shared" si="1"/>
        <v>2943</v>
      </c>
      <c r="C22" s="45">
        <f t="shared" si="1"/>
        <v>3683</v>
      </c>
      <c r="D22" s="45">
        <f t="shared" si="1"/>
        <v>21803980</v>
      </c>
      <c r="E22" s="45">
        <f t="shared" si="1"/>
        <v>10398135</v>
      </c>
      <c r="F22" s="23">
        <f t="shared" ref="F22:F37" si="4">B2/$B$2</f>
        <v>1</v>
      </c>
      <c r="G22" s="46">
        <f t="shared" ref="G22:G37" si="5">D2/B2</f>
        <v>7408.759769</v>
      </c>
      <c r="H22" s="47">
        <f t="shared" ref="H22:I22" si="2">C2/B2</f>
        <v>1.251444105</v>
      </c>
      <c r="I22" s="46">
        <f t="shared" si="2"/>
        <v>5920.168341</v>
      </c>
    </row>
    <row r="23">
      <c r="A23" s="20" t="str">
        <f t="shared" ref="A23:E23" si="3">A3</f>
        <v>2021Q2</v>
      </c>
      <c r="B23" s="48">
        <f t="shared" si="3"/>
        <v>346</v>
      </c>
      <c r="C23" s="49">
        <f t="shared" si="3"/>
        <v>513</v>
      </c>
      <c r="D23" s="49">
        <f t="shared" si="3"/>
        <v>2765015</v>
      </c>
      <c r="E23" s="49">
        <f t="shared" si="3"/>
        <v>1386330</v>
      </c>
      <c r="F23" s="40">
        <f t="shared" si="4"/>
        <v>0.1175671084</v>
      </c>
      <c r="G23" s="50">
        <f t="shared" si="5"/>
        <v>7991.372832</v>
      </c>
      <c r="H23" s="38">
        <f t="shared" ref="H23:I23" si="6">C3/B3</f>
        <v>1.48265896</v>
      </c>
      <c r="I23" s="50">
        <f t="shared" si="6"/>
        <v>5389.892788</v>
      </c>
    </row>
    <row r="24">
      <c r="A24" s="20" t="str">
        <f t="shared" ref="A24:E24" si="7">A4</f>
        <v>2021Q3</v>
      </c>
      <c r="B24" s="48">
        <f t="shared" si="7"/>
        <v>313</v>
      </c>
      <c r="C24" s="49">
        <f t="shared" si="7"/>
        <v>451</v>
      </c>
      <c r="D24" s="49">
        <f t="shared" si="7"/>
        <v>2352130</v>
      </c>
      <c r="E24" s="49">
        <f t="shared" si="7"/>
        <v>1173700</v>
      </c>
      <c r="F24" s="40">
        <f t="shared" si="4"/>
        <v>0.1063540605</v>
      </c>
      <c r="G24" s="50">
        <f t="shared" si="5"/>
        <v>7514.792332</v>
      </c>
      <c r="H24" s="38">
        <f t="shared" ref="H24:I24" si="8">C4/B4</f>
        <v>1.440894569</v>
      </c>
      <c r="I24" s="50">
        <f t="shared" si="8"/>
        <v>5215.365854</v>
      </c>
    </row>
    <row r="25">
      <c r="A25" s="20" t="str">
        <f t="shared" ref="A25:E25" si="9">A5</f>
        <v>2021Q4</v>
      </c>
      <c r="B25" s="48">
        <f t="shared" si="9"/>
        <v>485</v>
      </c>
      <c r="C25" s="49">
        <f t="shared" si="9"/>
        <v>819</v>
      </c>
      <c r="D25" s="49">
        <f t="shared" si="9"/>
        <v>4692930</v>
      </c>
      <c r="E25" s="49">
        <f t="shared" si="9"/>
        <v>2335300</v>
      </c>
      <c r="F25" s="40">
        <f t="shared" si="4"/>
        <v>0.1647978253</v>
      </c>
      <c r="G25" s="50">
        <f t="shared" si="5"/>
        <v>9676.14433</v>
      </c>
      <c r="H25" s="38">
        <f t="shared" ref="H25:I25" si="10">C5/B5</f>
        <v>1.688659794</v>
      </c>
      <c r="I25" s="50">
        <f t="shared" si="10"/>
        <v>5730.07326</v>
      </c>
    </row>
    <row r="26">
      <c r="A26" s="20" t="str">
        <f t="shared" ref="A26:E26" si="11">A6</f>
        <v>2022Q1</v>
      </c>
      <c r="B26" s="48">
        <f t="shared" si="11"/>
        <v>296</v>
      </c>
      <c r="C26" s="49">
        <f t="shared" si="11"/>
        <v>435</v>
      </c>
      <c r="D26" s="49">
        <f t="shared" si="11"/>
        <v>2411530</v>
      </c>
      <c r="E26" s="49">
        <f t="shared" si="11"/>
        <v>1161600</v>
      </c>
      <c r="F26" s="40">
        <f t="shared" si="4"/>
        <v>0.1005776419</v>
      </c>
      <c r="G26" s="50">
        <f t="shared" si="5"/>
        <v>8147.060811</v>
      </c>
      <c r="H26" s="38">
        <f t="shared" ref="H26:I26" si="12">C6/B6</f>
        <v>1.469594595</v>
      </c>
      <c r="I26" s="50">
        <f t="shared" si="12"/>
        <v>5543.747126</v>
      </c>
    </row>
    <row r="27">
      <c r="A27" s="20" t="str">
        <f t="shared" ref="A27:E27" si="13">A7</f>
        <v>2022Q2</v>
      </c>
      <c r="B27" s="48">
        <f t="shared" si="13"/>
        <v>286</v>
      </c>
      <c r="C27" s="49">
        <f t="shared" si="13"/>
        <v>453</v>
      </c>
      <c r="D27" s="49">
        <f t="shared" si="13"/>
        <v>2186470</v>
      </c>
      <c r="E27" s="49">
        <f t="shared" si="13"/>
        <v>1074425</v>
      </c>
      <c r="F27" s="40">
        <f t="shared" si="4"/>
        <v>0.09717974856</v>
      </c>
      <c r="G27" s="50">
        <f t="shared" si="5"/>
        <v>7645</v>
      </c>
      <c r="H27" s="38">
        <f t="shared" ref="H27:I27" si="14">C7/B7</f>
        <v>1.583916084</v>
      </c>
      <c r="I27" s="50">
        <f t="shared" si="14"/>
        <v>4826.644592</v>
      </c>
    </row>
    <row r="28">
      <c r="A28" s="20" t="str">
        <f t="shared" ref="A28:E28" si="15">A8</f>
        <v>2022Q3</v>
      </c>
      <c r="B28" s="48">
        <f t="shared" si="15"/>
        <v>245</v>
      </c>
      <c r="C28" s="49">
        <f t="shared" si="15"/>
        <v>396</v>
      </c>
      <c r="D28" s="49">
        <f t="shared" si="15"/>
        <v>2040280</v>
      </c>
      <c r="E28" s="49">
        <f t="shared" si="15"/>
        <v>988295</v>
      </c>
      <c r="F28" s="40">
        <f t="shared" si="4"/>
        <v>0.083248386</v>
      </c>
      <c r="G28" s="50">
        <f t="shared" si="5"/>
        <v>8327.673469</v>
      </c>
      <c r="H28" s="38">
        <f t="shared" ref="H28:I28" si="16">C8/B8</f>
        <v>1.616326531</v>
      </c>
      <c r="I28" s="50">
        <f t="shared" si="16"/>
        <v>5152.222222</v>
      </c>
    </row>
    <row r="29">
      <c r="A29" s="20" t="str">
        <f t="shared" ref="A29:E29" si="17">A9</f>
        <v>2022Q4</v>
      </c>
      <c r="B29" s="48">
        <f t="shared" si="17"/>
        <v>420</v>
      </c>
      <c r="C29" s="49">
        <f t="shared" si="17"/>
        <v>808</v>
      </c>
      <c r="D29" s="49">
        <f t="shared" si="17"/>
        <v>4619175</v>
      </c>
      <c r="E29" s="49">
        <f t="shared" si="17"/>
        <v>2215950</v>
      </c>
      <c r="F29" s="40">
        <f t="shared" si="4"/>
        <v>0.1427115189</v>
      </c>
      <c r="G29" s="50">
        <f t="shared" si="5"/>
        <v>10998.03571</v>
      </c>
      <c r="H29" s="38">
        <f t="shared" ref="H29:I29" si="18">C9/B9</f>
        <v>1.923809524</v>
      </c>
      <c r="I29" s="50">
        <f t="shared" si="18"/>
        <v>5716.800743</v>
      </c>
    </row>
    <row r="30">
      <c r="A30" s="20" t="str">
        <f t="shared" ref="A30:E30" si="19">A10</f>
        <v>2023Q1</v>
      </c>
      <c r="B30" s="48">
        <f t="shared" si="19"/>
        <v>312</v>
      </c>
      <c r="C30" s="49">
        <f t="shared" si="19"/>
        <v>481</v>
      </c>
      <c r="D30" s="49">
        <f t="shared" si="19"/>
        <v>2391565</v>
      </c>
      <c r="E30" s="49">
        <f t="shared" si="19"/>
        <v>1101815</v>
      </c>
      <c r="F30" s="40">
        <f t="shared" si="4"/>
        <v>0.1060142712</v>
      </c>
      <c r="G30" s="50">
        <f t="shared" si="5"/>
        <v>7665.272436</v>
      </c>
      <c r="H30" s="38">
        <f t="shared" ref="H30:I30" si="20">C10/B10</f>
        <v>1.541666667</v>
      </c>
      <c r="I30" s="50">
        <f t="shared" si="20"/>
        <v>4972.068607</v>
      </c>
    </row>
    <row r="31">
      <c r="A31" s="20" t="str">
        <f t="shared" ref="A31:E31" si="21">A11</f>
        <v>2023Q2</v>
      </c>
      <c r="B31" s="48">
        <f t="shared" si="21"/>
        <v>281</v>
      </c>
      <c r="C31" s="49">
        <f t="shared" si="21"/>
        <v>462</v>
      </c>
      <c r="D31" s="49">
        <f t="shared" si="21"/>
        <v>2061895</v>
      </c>
      <c r="E31" s="49">
        <f t="shared" si="21"/>
        <v>960080</v>
      </c>
      <c r="F31" s="40">
        <f t="shared" si="4"/>
        <v>0.0954808019</v>
      </c>
      <c r="G31" s="50">
        <f t="shared" si="5"/>
        <v>7337.704626</v>
      </c>
      <c r="H31" s="38">
        <f t="shared" ref="H31:I31" si="22">C11/B11</f>
        <v>1.644128114</v>
      </c>
      <c r="I31" s="50">
        <f t="shared" si="22"/>
        <v>4462.97619</v>
      </c>
    </row>
    <row r="32">
      <c r="A32" s="20" t="str">
        <f t="shared" ref="A32:E32" si="23">A12</f>
        <v>2023Q3</v>
      </c>
      <c r="B32" s="48">
        <f t="shared" si="23"/>
        <v>220</v>
      </c>
      <c r="C32" s="49">
        <f t="shared" si="23"/>
        <v>384</v>
      </c>
      <c r="D32" s="49">
        <f t="shared" si="23"/>
        <v>1826220</v>
      </c>
      <c r="E32" s="49">
        <f t="shared" si="23"/>
        <v>838310</v>
      </c>
      <c r="F32" s="40">
        <f t="shared" si="4"/>
        <v>0.07475365274</v>
      </c>
      <c r="G32" s="50">
        <f t="shared" si="5"/>
        <v>8301</v>
      </c>
      <c r="H32" s="38">
        <f t="shared" ref="H32:I32" si="24">C12/B12</f>
        <v>1.745454545</v>
      </c>
      <c r="I32" s="50">
        <f t="shared" si="24"/>
        <v>4755.78125</v>
      </c>
    </row>
    <row r="33">
      <c r="A33" s="20" t="str">
        <f t="shared" ref="A33:E33" si="25">A13</f>
        <v>2023Q4</v>
      </c>
      <c r="B33" s="48">
        <f t="shared" si="25"/>
        <v>358</v>
      </c>
      <c r="C33" s="49">
        <f t="shared" si="25"/>
        <v>722</v>
      </c>
      <c r="D33" s="49">
        <f t="shared" si="25"/>
        <v>3652880</v>
      </c>
      <c r="E33" s="49">
        <f t="shared" si="25"/>
        <v>1726835</v>
      </c>
      <c r="F33" s="40">
        <f t="shared" si="4"/>
        <v>0.1216445804</v>
      </c>
      <c r="G33" s="50">
        <f t="shared" si="5"/>
        <v>10203.57542</v>
      </c>
      <c r="H33" s="38">
        <f t="shared" ref="H33:I33" si="26">C13/B13</f>
        <v>2.016759777</v>
      </c>
      <c r="I33" s="50">
        <f t="shared" si="26"/>
        <v>5059.390582</v>
      </c>
    </row>
    <row r="34">
      <c r="A34" s="20" t="str">
        <f t="shared" ref="A34:E34" si="27">A14</f>
        <v>2024Q1</v>
      </c>
      <c r="B34" s="48">
        <f t="shared" si="27"/>
        <v>244</v>
      </c>
      <c r="C34" s="49">
        <f t="shared" si="27"/>
        <v>397</v>
      </c>
      <c r="D34" s="49">
        <f t="shared" si="27"/>
        <v>1945185</v>
      </c>
      <c r="E34" s="49">
        <f t="shared" si="27"/>
        <v>908215</v>
      </c>
      <c r="F34" s="40">
        <f t="shared" si="4"/>
        <v>0.08290859667</v>
      </c>
      <c r="G34" s="50">
        <f t="shared" si="5"/>
        <v>7972.069672</v>
      </c>
      <c r="H34" s="38">
        <f t="shared" ref="H34:I34" si="28">C14/B14</f>
        <v>1.62704918</v>
      </c>
      <c r="I34" s="50">
        <f t="shared" si="28"/>
        <v>4899.710327</v>
      </c>
    </row>
    <row r="35">
      <c r="A35" s="20" t="str">
        <f t="shared" ref="A35:E35" si="29">A15</f>
        <v>2024Q2</v>
      </c>
      <c r="B35" s="48">
        <f t="shared" si="29"/>
        <v>236</v>
      </c>
      <c r="C35" s="49">
        <f t="shared" si="29"/>
        <v>390</v>
      </c>
      <c r="D35" s="49">
        <f t="shared" si="29"/>
        <v>1882925</v>
      </c>
      <c r="E35" s="49">
        <f t="shared" si="29"/>
        <v>884840</v>
      </c>
      <c r="F35" s="40">
        <f t="shared" si="4"/>
        <v>0.08019028203</v>
      </c>
      <c r="G35" s="50">
        <f t="shared" si="5"/>
        <v>7978.495763</v>
      </c>
      <c r="H35" s="38">
        <f t="shared" ref="H35:I35" si="30">C15/B15</f>
        <v>1.652542373</v>
      </c>
      <c r="I35" s="50">
        <f t="shared" si="30"/>
        <v>4828.012821</v>
      </c>
    </row>
    <row r="36">
      <c r="A36" s="20" t="str">
        <f t="shared" ref="A36:E36" si="31">A16</f>
        <v>2024Q3</v>
      </c>
      <c r="B36" s="48">
        <f t="shared" si="31"/>
        <v>201</v>
      </c>
      <c r="C36" s="49">
        <f t="shared" si="31"/>
        <v>338</v>
      </c>
      <c r="D36" s="49">
        <f t="shared" si="31"/>
        <v>1504580</v>
      </c>
      <c r="E36" s="49">
        <f t="shared" si="31"/>
        <v>703560</v>
      </c>
      <c r="F36" s="40">
        <f t="shared" si="4"/>
        <v>0.06829765545</v>
      </c>
      <c r="G36" s="50">
        <f t="shared" si="5"/>
        <v>7485.472637</v>
      </c>
      <c r="H36" s="38">
        <f t="shared" ref="H36:I36" si="32">C16/B16</f>
        <v>1.68159204</v>
      </c>
      <c r="I36" s="50">
        <f t="shared" si="32"/>
        <v>4451.420118</v>
      </c>
    </row>
    <row r="37">
      <c r="A37" s="20" t="str">
        <f t="shared" ref="A37:E37" si="33">A17</f>
        <v>2024Q4</v>
      </c>
      <c r="B37" s="48">
        <f t="shared" si="33"/>
        <v>353</v>
      </c>
      <c r="C37" s="49">
        <f t="shared" si="33"/>
        <v>657</v>
      </c>
      <c r="D37" s="49">
        <f t="shared" si="33"/>
        <v>3447070</v>
      </c>
      <c r="E37" s="49">
        <f t="shared" si="33"/>
        <v>1627065</v>
      </c>
      <c r="F37" s="40">
        <f t="shared" si="4"/>
        <v>0.1199456337</v>
      </c>
      <c r="G37" s="50">
        <f t="shared" si="5"/>
        <v>9765.070822</v>
      </c>
      <c r="H37" s="38">
        <f t="shared" ref="H37:I37" si="34">C17/B17</f>
        <v>1.861189802</v>
      </c>
      <c r="I37" s="50">
        <f t="shared" si="34"/>
        <v>5246.681887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34</v>
      </c>
      <c r="B1" s="4"/>
      <c r="C1" s="4"/>
      <c r="D1" s="4"/>
      <c r="E1" s="10"/>
      <c r="F1" s="4"/>
      <c r="G1" s="4"/>
      <c r="H1" s="51" t="s">
        <v>35</v>
      </c>
      <c r="I1" s="4"/>
      <c r="J1" s="4"/>
      <c r="K1" s="51"/>
      <c r="L1" s="4"/>
      <c r="M1" s="4"/>
      <c r="N1" s="4"/>
      <c r="O1" s="51" t="s">
        <v>36</v>
      </c>
      <c r="P1" s="4"/>
      <c r="Q1" s="4"/>
      <c r="R1" s="4"/>
      <c r="S1" s="4"/>
      <c r="T1" s="4"/>
      <c r="U1" s="51"/>
      <c r="V1" s="4"/>
      <c r="W1" s="4"/>
      <c r="X1" s="4"/>
      <c r="Y1" s="4"/>
      <c r="Z1" s="4"/>
      <c r="AA1" s="4"/>
      <c r="AB1" s="4"/>
      <c r="AC1" s="4"/>
    </row>
    <row r="2">
      <c r="A2" s="41" t="s">
        <v>15</v>
      </c>
      <c r="B2" s="41" t="s">
        <v>1</v>
      </c>
      <c r="C2" s="41" t="s">
        <v>2</v>
      </c>
      <c r="D2" s="41" t="s">
        <v>3</v>
      </c>
      <c r="E2" s="52" t="s">
        <v>4</v>
      </c>
      <c r="F2" s="4"/>
      <c r="G2" s="4"/>
      <c r="H2" s="41" t="s">
        <v>15</v>
      </c>
      <c r="I2" s="41" t="s">
        <v>1</v>
      </c>
      <c r="J2" s="41" t="s">
        <v>2</v>
      </c>
      <c r="K2" s="41" t="s">
        <v>3</v>
      </c>
      <c r="L2" s="41" t="s">
        <v>4</v>
      </c>
      <c r="M2" s="4"/>
      <c r="N2" s="4"/>
      <c r="O2" s="41" t="s">
        <v>15</v>
      </c>
      <c r="P2" s="41" t="s">
        <v>1</v>
      </c>
      <c r="Q2" s="41" t="s">
        <v>2</v>
      </c>
      <c r="R2" s="41" t="s">
        <v>3</v>
      </c>
      <c r="S2" s="41" t="s">
        <v>4</v>
      </c>
      <c r="T2" s="4"/>
      <c r="U2" s="4"/>
      <c r="V2" s="4"/>
      <c r="W2" s="4"/>
    </row>
    <row r="3">
      <c r="A3" s="1" t="s">
        <v>18</v>
      </c>
      <c r="B3" s="8">
        <v>2842.0</v>
      </c>
      <c r="C3" s="8">
        <v>3593.0</v>
      </c>
      <c r="D3" s="8">
        <v>1.8866045E7</v>
      </c>
      <c r="E3" s="53">
        <v>9389215.0</v>
      </c>
      <c r="F3" s="4"/>
      <c r="G3" s="4"/>
      <c r="H3" s="54"/>
      <c r="I3" s="55"/>
      <c r="J3" s="55"/>
      <c r="K3" s="8">
        <v>0.0</v>
      </c>
      <c r="L3" s="8">
        <v>0.0</v>
      </c>
      <c r="M3" s="4"/>
      <c r="N3" s="4"/>
      <c r="O3" s="54"/>
      <c r="P3" s="55"/>
      <c r="Q3" s="55"/>
      <c r="R3" s="8">
        <v>0.0</v>
      </c>
      <c r="S3" s="8">
        <v>0.0</v>
      </c>
      <c r="T3" s="4"/>
      <c r="U3" s="4"/>
      <c r="V3" s="4"/>
      <c r="W3" s="4"/>
    </row>
    <row r="4">
      <c r="A4" s="1" t="s">
        <v>19</v>
      </c>
      <c r="B4" s="8">
        <v>529.0</v>
      </c>
      <c r="C4" s="8">
        <v>818.0</v>
      </c>
      <c r="D4" s="8">
        <v>4377010.0</v>
      </c>
      <c r="E4" s="53">
        <v>2173325.0</v>
      </c>
      <c r="F4" s="4"/>
      <c r="G4" s="4"/>
      <c r="H4" s="1" t="s">
        <v>19</v>
      </c>
      <c r="I4" s="8">
        <v>6161.0</v>
      </c>
      <c r="J4" s="8">
        <v>7980.0</v>
      </c>
      <c r="K4" s="8">
        <v>5.0815985E7</v>
      </c>
      <c r="L4" s="8">
        <v>2.616405E7</v>
      </c>
      <c r="M4" s="4"/>
      <c r="N4" s="4"/>
      <c r="O4" s="54"/>
      <c r="P4" s="55"/>
      <c r="Q4" s="55"/>
      <c r="R4" s="8">
        <v>0.0</v>
      </c>
      <c r="S4" s="8">
        <v>0.0</v>
      </c>
      <c r="T4" s="4"/>
      <c r="U4" s="4"/>
      <c r="V4" s="4"/>
      <c r="W4" s="4"/>
    </row>
    <row r="5">
      <c r="A5" s="1" t="s">
        <v>20</v>
      </c>
      <c r="B5" s="8">
        <v>237.0</v>
      </c>
      <c r="C5" s="8">
        <v>325.0</v>
      </c>
      <c r="D5" s="8">
        <v>1908940.0</v>
      </c>
      <c r="E5" s="53">
        <v>942755.0</v>
      </c>
      <c r="F5" s="4"/>
      <c r="G5" s="4"/>
      <c r="H5" s="1" t="s">
        <v>20</v>
      </c>
      <c r="I5" s="8">
        <v>619.0</v>
      </c>
      <c r="J5" s="8">
        <v>939.0</v>
      </c>
      <c r="K5" s="8">
        <v>5396435.0</v>
      </c>
      <c r="L5" s="8">
        <v>2596110.0</v>
      </c>
      <c r="M5" s="4"/>
      <c r="N5" s="4"/>
      <c r="O5" s="54"/>
      <c r="P5" s="55"/>
      <c r="Q5" s="55"/>
      <c r="R5" s="8">
        <v>0.0</v>
      </c>
      <c r="S5" s="8">
        <v>0.0</v>
      </c>
      <c r="T5" s="4"/>
      <c r="U5" s="4"/>
      <c r="V5" s="4"/>
      <c r="W5" s="4"/>
    </row>
    <row r="6">
      <c r="A6" s="1" t="s">
        <v>21</v>
      </c>
      <c r="B6" s="8">
        <v>318.0</v>
      </c>
      <c r="C6" s="8">
        <v>467.0</v>
      </c>
      <c r="D6" s="8">
        <v>2357300.0</v>
      </c>
      <c r="E6" s="53">
        <v>1154450.0</v>
      </c>
      <c r="F6" s="4"/>
      <c r="G6" s="4"/>
      <c r="H6" s="1" t="s">
        <v>21</v>
      </c>
      <c r="I6" s="8">
        <v>546.0</v>
      </c>
      <c r="J6" s="8">
        <v>855.0</v>
      </c>
      <c r="K6" s="8">
        <v>4014505.0</v>
      </c>
      <c r="L6" s="8">
        <v>1990010.0</v>
      </c>
      <c r="M6" s="4"/>
      <c r="N6" s="4"/>
      <c r="O6" s="54"/>
      <c r="P6" s="55"/>
      <c r="Q6" s="55"/>
      <c r="R6" s="8">
        <v>0.0</v>
      </c>
      <c r="S6" s="8">
        <v>0.0</v>
      </c>
      <c r="T6" s="4"/>
      <c r="U6" s="4"/>
      <c r="V6" s="4"/>
      <c r="W6" s="4"/>
    </row>
    <row r="7">
      <c r="A7" s="1" t="s">
        <v>22</v>
      </c>
      <c r="B7" s="8">
        <v>317.0</v>
      </c>
      <c r="C7" s="8">
        <v>468.0</v>
      </c>
      <c r="D7" s="8">
        <v>2213530.0</v>
      </c>
      <c r="E7" s="53">
        <v>1063370.0</v>
      </c>
      <c r="F7" s="4"/>
      <c r="G7" s="4"/>
      <c r="H7" s="1" t="s">
        <v>22</v>
      </c>
      <c r="I7" s="8">
        <v>451.0</v>
      </c>
      <c r="J7" s="8">
        <v>696.0</v>
      </c>
      <c r="K7" s="8">
        <v>3515930.0</v>
      </c>
      <c r="L7" s="8">
        <v>1742015.0</v>
      </c>
      <c r="M7" s="4"/>
      <c r="N7" s="4"/>
      <c r="O7" s="54"/>
      <c r="P7" s="55"/>
      <c r="Q7" s="55"/>
      <c r="R7" s="8">
        <v>0.0</v>
      </c>
      <c r="S7" s="8">
        <v>0.0</v>
      </c>
      <c r="T7" s="4"/>
      <c r="U7" s="4"/>
      <c r="V7" s="4"/>
      <c r="W7" s="4"/>
    </row>
    <row r="8">
      <c r="A8" s="1" t="s">
        <v>23</v>
      </c>
      <c r="B8" s="8">
        <v>366.0</v>
      </c>
      <c r="C8" s="8">
        <v>615.0</v>
      </c>
      <c r="D8" s="8">
        <v>3017685.0</v>
      </c>
      <c r="E8" s="53">
        <v>1435610.0</v>
      </c>
      <c r="F8" s="4"/>
      <c r="G8" s="4"/>
      <c r="H8" s="1" t="s">
        <v>23</v>
      </c>
      <c r="I8" s="8">
        <v>939.0</v>
      </c>
      <c r="J8" s="8">
        <v>1579.0</v>
      </c>
      <c r="K8" s="8">
        <v>8754185.0</v>
      </c>
      <c r="L8" s="8">
        <v>4264700.0</v>
      </c>
      <c r="M8" s="4"/>
      <c r="N8" s="4"/>
      <c r="O8" s="1" t="s">
        <v>23</v>
      </c>
      <c r="P8" s="8">
        <v>5881.0</v>
      </c>
      <c r="Q8" s="8">
        <v>7651.0</v>
      </c>
      <c r="R8" s="8">
        <v>4.608989E7</v>
      </c>
      <c r="S8" s="8">
        <v>2.257783E7</v>
      </c>
      <c r="T8" s="4"/>
      <c r="U8" s="4"/>
      <c r="V8" s="4"/>
      <c r="W8" s="4"/>
    </row>
    <row r="9">
      <c r="A9" s="1" t="s">
        <v>24</v>
      </c>
      <c r="B9" s="8">
        <v>234.0</v>
      </c>
      <c r="C9" s="8">
        <v>339.0</v>
      </c>
      <c r="D9" s="8">
        <v>1575365.0</v>
      </c>
      <c r="E9" s="53">
        <v>740795.0</v>
      </c>
      <c r="F9" s="4"/>
      <c r="G9" s="4"/>
      <c r="H9" s="1" t="s">
        <v>24</v>
      </c>
      <c r="I9" s="8">
        <v>418.0</v>
      </c>
      <c r="J9" s="8">
        <v>687.0</v>
      </c>
      <c r="K9" s="8">
        <v>3430020.0</v>
      </c>
      <c r="L9" s="8">
        <v>1596375.0</v>
      </c>
      <c r="M9" s="4"/>
      <c r="N9" s="4"/>
      <c r="O9" s="1" t="s">
        <v>24</v>
      </c>
      <c r="P9" s="8">
        <v>690.0</v>
      </c>
      <c r="Q9" s="8">
        <v>1011.0</v>
      </c>
      <c r="R9" s="8">
        <v>5531845.0</v>
      </c>
      <c r="S9" s="8">
        <v>2540340.0</v>
      </c>
      <c r="T9" s="4"/>
      <c r="U9" s="4"/>
      <c r="V9" s="4"/>
      <c r="W9" s="4"/>
    </row>
    <row r="10">
      <c r="A10" s="1" t="s">
        <v>25</v>
      </c>
      <c r="B10" s="8">
        <v>254.0</v>
      </c>
      <c r="C10" s="8">
        <v>408.0</v>
      </c>
      <c r="D10" s="8">
        <v>1804770.0</v>
      </c>
      <c r="E10" s="53">
        <v>868560.0</v>
      </c>
      <c r="F10" s="4"/>
      <c r="G10" s="4"/>
      <c r="H10" s="1" t="s">
        <v>25</v>
      </c>
      <c r="I10" s="8">
        <v>442.0</v>
      </c>
      <c r="J10" s="8">
        <v>738.0</v>
      </c>
      <c r="K10" s="8">
        <v>3375460.0</v>
      </c>
      <c r="L10" s="8">
        <v>1614635.0</v>
      </c>
      <c r="M10" s="4"/>
      <c r="N10" s="4"/>
      <c r="O10" s="1" t="s">
        <v>25</v>
      </c>
      <c r="P10" s="8">
        <v>473.0</v>
      </c>
      <c r="Q10" s="8">
        <v>675.0</v>
      </c>
      <c r="R10" s="8">
        <v>3571370.0</v>
      </c>
      <c r="S10" s="8">
        <v>1677170.0</v>
      </c>
      <c r="T10" s="4"/>
      <c r="U10" s="4"/>
      <c r="V10" s="4"/>
      <c r="W10" s="4"/>
    </row>
    <row r="11">
      <c r="A11" s="1" t="s">
        <v>26</v>
      </c>
      <c r="B11" s="8">
        <v>269.0</v>
      </c>
      <c r="C11" s="8">
        <v>385.0</v>
      </c>
      <c r="D11" s="8">
        <v>1582735.0</v>
      </c>
      <c r="E11" s="53">
        <v>742940.0</v>
      </c>
      <c r="F11" s="4"/>
      <c r="G11" s="4"/>
      <c r="H11" s="1" t="s">
        <v>26</v>
      </c>
      <c r="I11" s="8">
        <v>430.0</v>
      </c>
      <c r="J11" s="8">
        <v>731.0</v>
      </c>
      <c r="K11" s="8">
        <v>3476385.0</v>
      </c>
      <c r="L11" s="8">
        <v>1640210.0</v>
      </c>
      <c r="M11" s="4"/>
      <c r="N11" s="4"/>
      <c r="O11" s="1" t="s">
        <v>26</v>
      </c>
      <c r="P11" s="8">
        <v>420.0</v>
      </c>
      <c r="Q11" s="8">
        <v>601.0</v>
      </c>
      <c r="R11" s="8">
        <v>2838000.0</v>
      </c>
      <c r="S11" s="8">
        <v>1371040.0</v>
      </c>
      <c r="T11" s="4"/>
      <c r="U11" s="4"/>
      <c r="V11" s="4"/>
      <c r="W11" s="4"/>
    </row>
    <row r="12">
      <c r="A12" s="1" t="s">
        <v>27</v>
      </c>
      <c r="B12" s="8">
        <v>358.0</v>
      </c>
      <c r="C12" s="8">
        <v>625.0</v>
      </c>
      <c r="D12" s="8">
        <v>3222065.0</v>
      </c>
      <c r="E12" s="53">
        <v>1519155.0</v>
      </c>
      <c r="F12" s="4"/>
      <c r="G12" s="4"/>
      <c r="H12" s="1" t="s">
        <v>27</v>
      </c>
      <c r="I12" s="8">
        <v>885.0</v>
      </c>
      <c r="J12" s="8">
        <v>1542.0</v>
      </c>
      <c r="K12" s="8">
        <v>8510590.0</v>
      </c>
      <c r="L12" s="8">
        <v>4095850.0</v>
      </c>
      <c r="M12" s="4"/>
      <c r="N12" s="4"/>
      <c r="O12" s="1" t="s">
        <v>27</v>
      </c>
      <c r="P12" s="8">
        <v>999.0</v>
      </c>
      <c r="Q12" s="8">
        <v>1660.0</v>
      </c>
      <c r="R12" s="8">
        <v>8927160.0</v>
      </c>
      <c r="S12" s="8">
        <v>4306665.0</v>
      </c>
      <c r="T12" s="4"/>
      <c r="U12" s="4"/>
      <c r="V12" s="4"/>
      <c r="W12" s="4"/>
    </row>
    <row r="13">
      <c r="A13" s="1" t="s">
        <v>28</v>
      </c>
      <c r="B13" s="8">
        <v>220.0</v>
      </c>
      <c r="C13" s="8">
        <v>323.0</v>
      </c>
      <c r="D13" s="8">
        <v>1638945.0</v>
      </c>
      <c r="E13" s="53">
        <v>766755.0</v>
      </c>
      <c r="F13" s="4"/>
      <c r="G13" s="4"/>
      <c r="H13" s="1" t="s">
        <v>28</v>
      </c>
      <c r="I13" s="8">
        <v>381.0</v>
      </c>
      <c r="J13" s="8">
        <v>625.0</v>
      </c>
      <c r="K13" s="8">
        <v>3439535.0</v>
      </c>
      <c r="L13" s="8">
        <v>1651705.0</v>
      </c>
      <c r="M13" s="4"/>
      <c r="N13" s="4"/>
      <c r="O13" s="1" t="s">
        <v>28</v>
      </c>
      <c r="P13" s="8">
        <v>387.0</v>
      </c>
      <c r="Q13" s="8">
        <v>562.0</v>
      </c>
      <c r="R13" s="8">
        <v>3135275.0</v>
      </c>
      <c r="S13" s="8">
        <v>1509805.0</v>
      </c>
      <c r="T13" s="4"/>
      <c r="U13" s="4"/>
      <c r="V13" s="4"/>
      <c r="W13" s="4"/>
    </row>
    <row r="14">
      <c r="A14" s="1" t="s">
        <v>29</v>
      </c>
      <c r="B14" s="8">
        <v>224.0</v>
      </c>
      <c r="C14" s="8">
        <v>338.0</v>
      </c>
      <c r="D14" s="8">
        <v>1742675.0</v>
      </c>
      <c r="E14" s="53">
        <v>828905.0</v>
      </c>
      <c r="F14" s="4"/>
      <c r="G14" s="4"/>
      <c r="H14" s="1" t="s">
        <v>29</v>
      </c>
      <c r="I14" s="8">
        <v>384.0</v>
      </c>
      <c r="J14" s="8">
        <v>654.0</v>
      </c>
      <c r="K14" s="8">
        <v>3467475.0</v>
      </c>
      <c r="L14" s="8">
        <v>1650495.0</v>
      </c>
      <c r="M14" s="4"/>
      <c r="N14" s="4"/>
      <c r="O14" s="1" t="s">
        <v>29</v>
      </c>
      <c r="P14" s="8">
        <v>343.0</v>
      </c>
      <c r="Q14" s="8">
        <v>522.0</v>
      </c>
      <c r="R14" s="8">
        <v>2546775.0</v>
      </c>
      <c r="S14" s="8">
        <v>1241075.0</v>
      </c>
      <c r="T14" s="4"/>
      <c r="U14" s="4"/>
      <c r="V14" s="4"/>
      <c r="W14" s="4"/>
    </row>
    <row r="15">
      <c r="A15" s="1" t="s">
        <v>30</v>
      </c>
      <c r="B15" s="8">
        <v>230.0</v>
      </c>
      <c r="C15" s="8">
        <v>349.0</v>
      </c>
      <c r="D15" s="8">
        <v>1446720.0</v>
      </c>
      <c r="E15" s="53">
        <v>692780.0</v>
      </c>
      <c r="F15" s="4"/>
      <c r="G15" s="4"/>
      <c r="H15" s="1" t="s">
        <v>30</v>
      </c>
      <c r="I15" s="8">
        <v>351.0</v>
      </c>
      <c r="J15" s="8">
        <v>561.0</v>
      </c>
      <c r="K15" s="8">
        <v>2413840.0</v>
      </c>
      <c r="L15" s="8">
        <v>1158025.0</v>
      </c>
      <c r="M15" s="4"/>
      <c r="N15" s="4"/>
      <c r="O15" s="1" t="s">
        <v>30</v>
      </c>
      <c r="P15" s="8">
        <v>356.0</v>
      </c>
      <c r="Q15" s="8">
        <v>518.0</v>
      </c>
      <c r="R15" s="8">
        <v>2251975.0</v>
      </c>
      <c r="S15" s="8">
        <v>1074480.0</v>
      </c>
      <c r="T15" s="4"/>
      <c r="U15" s="4"/>
      <c r="V15" s="4"/>
      <c r="W15" s="4"/>
    </row>
    <row r="16">
      <c r="A16" s="15" t="s">
        <v>31</v>
      </c>
      <c r="B16" s="16">
        <v>311.0</v>
      </c>
      <c r="C16" s="16">
        <v>523.0</v>
      </c>
      <c r="D16" s="16">
        <v>2693735.0</v>
      </c>
      <c r="E16" s="56">
        <v>1293325.0</v>
      </c>
      <c r="F16" s="4"/>
      <c r="G16" s="4"/>
      <c r="H16" s="15" t="s">
        <v>31</v>
      </c>
      <c r="I16" s="16">
        <v>743.0</v>
      </c>
      <c r="J16" s="16">
        <v>1364.0</v>
      </c>
      <c r="K16" s="16">
        <v>7542645.0</v>
      </c>
      <c r="L16" s="16">
        <v>3669875.0</v>
      </c>
      <c r="M16" s="4"/>
      <c r="N16" s="4"/>
      <c r="O16" s="15" t="s">
        <v>31</v>
      </c>
      <c r="P16" s="16">
        <v>778.0</v>
      </c>
      <c r="Q16" s="16">
        <v>1300.0</v>
      </c>
      <c r="R16" s="16">
        <v>7285410.0</v>
      </c>
      <c r="S16" s="16">
        <v>3469510.0</v>
      </c>
      <c r="T16" s="4"/>
      <c r="U16" s="4"/>
      <c r="V16" s="4"/>
      <c r="W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57" t="s">
        <v>15</v>
      </c>
      <c r="B20" s="57" t="s">
        <v>1</v>
      </c>
      <c r="C20" s="57" t="s">
        <v>2</v>
      </c>
      <c r="D20" s="57" t="s">
        <v>3</v>
      </c>
      <c r="E20" s="57" t="s">
        <v>4</v>
      </c>
      <c r="F20" s="57" t="s">
        <v>32</v>
      </c>
      <c r="G20" s="57" t="s">
        <v>33</v>
      </c>
      <c r="H20" s="57" t="s">
        <v>12</v>
      </c>
      <c r="I20" s="57" t="s">
        <v>13</v>
      </c>
      <c r="J20" s="4"/>
      <c r="K20" s="57" t="s">
        <v>15</v>
      </c>
      <c r="L20" s="57" t="s">
        <v>1</v>
      </c>
      <c r="M20" s="57" t="s">
        <v>2</v>
      </c>
      <c r="N20" s="57" t="s">
        <v>3</v>
      </c>
      <c r="O20" s="57" t="s">
        <v>4</v>
      </c>
      <c r="P20" s="57" t="s">
        <v>32</v>
      </c>
      <c r="Q20" s="57" t="s">
        <v>33</v>
      </c>
      <c r="R20" s="57" t="s">
        <v>12</v>
      </c>
      <c r="S20" s="57" t="s">
        <v>13</v>
      </c>
      <c r="T20" s="4"/>
      <c r="U20" s="57" t="s">
        <v>15</v>
      </c>
      <c r="V20" s="57" t="s">
        <v>1</v>
      </c>
      <c r="W20" s="57" t="s">
        <v>2</v>
      </c>
      <c r="X20" s="57" t="s">
        <v>3</v>
      </c>
      <c r="Y20" s="57" t="s">
        <v>4</v>
      </c>
      <c r="Z20" s="57" t="s">
        <v>32</v>
      </c>
      <c r="AA20" s="57" t="s">
        <v>33</v>
      </c>
      <c r="AB20" s="57" t="s">
        <v>12</v>
      </c>
      <c r="AC20" s="57" t="s">
        <v>13</v>
      </c>
    </row>
    <row r="21">
      <c r="A21" s="20" t="str">
        <f t="shared" ref="A21:E21" si="1">A3</f>
        <v>2021Q3</v>
      </c>
      <c r="B21" s="49">
        <f t="shared" si="1"/>
        <v>2842</v>
      </c>
      <c r="C21" s="49">
        <f t="shared" si="1"/>
        <v>3593</v>
      </c>
      <c r="D21" s="49">
        <f t="shared" si="1"/>
        <v>18866045</v>
      </c>
      <c r="E21" s="49">
        <f t="shared" si="1"/>
        <v>9389215</v>
      </c>
      <c r="F21" s="40">
        <f t="shared" ref="F21:F34" si="4">B3/$B$5</f>
        <v>11.99156118</v>
      </c>
      <c r="G21" s="50">
        <f t="shared" ref="G21:G34" si="5">D3/B3</f>
        <v>6638.298733</v>
      </c>
      <c r="H21" s="38">
        <f t="shared" ref="H21:I21" si="2">C3/B3</f>
        <v>1.264250528</v>
      </c>
      <c r="I21" s="50">
        <f t="shared" si="2"/>
        <v>5250.777901</v>
      </c>
      <c r="J21" s="4"/>
      <c r="K21" s="4"/>
      <c r="L21" s="58"/>
      <c r="M21" s="59"/>
      <c r="N21" s="59"/>
      <c r="O21" s="59"/>
      <c r="P21" s="9"/>
      <c r="Q21" s="60"/>
      <c r="R21" s="60"/>
      <c r="S21" s="60"/>
      <c r="T21" s="4"/>
      <c r="U21" s="4"/>
      <c r="V21" s="58"/>
      <c r="W21" s="59"/>
      <c r="X21" s="59"/>
      <c r="Y21" s="59"/>
      <c r="Z21" s="9"/>
      <c r="AA21" s="60"/>
      <c r="AB21" s="60"/>
      <c r="AC21" s="60"/>
    </row>
    <row r="22">
      <c r="A22" s="20" t="str">
        <f t="shared" ref="A22:E22" si="3">A4</f>
        <v>2021Q4</v>
      </c>
      <c r="B22" s="49">
        <f t="shared" si="3"/>
        <v>529</v>
      </c>
      <c r="C22" s="49">
        <f t="shared" si="3"/>
        <v>818</v>
      </c>
      <c r="D22" s="49">
        <f t="shared" si="3"/>
        <v>4377010</v>
      </c>
      <c r="E22" s="49">
        <f t="shared" si="3"/>
        <v>2173325</v>
      </c>
      <c r="F22" s="40">
        <f t="shared" si="4"/>
        <v>2.232067511</v>
      </c>
      <c r="G22" s="50">
        <f t="shared" si="5"/>
        <v>8274.120983</v>
      </c>
      <c r="H22" s="38">
        <f t="shared" ref="H22:I22" si="6">C4/B4</f>
        <v>1.5463138</v>
      </c>
      <c r="I22" s="50">
        <f t="shared" si="6"/>
        <v>5350.867971</v>
      </c>
      <c r="J22" s="4"/>
      <c r="K22" s="20" t="str">
        <f t="shared" ref="K22:O22" si="7">H4</f>
        <v>2021Q4</v>
      </c>
      <c r="L22" s="49">
        <f t="shared" si="7"/>
        <v>6161</v>
      </c>
      <c r="M22" s="49">
        <f t="shared" si="7"/>
        <v>7980</v>
      </c>
      <c r="N22" s="49">
        <f t="shared" si="7"/>
        <v>50815985</v>
      </c>
      <c r="O22" s="49">
        <f t="shared" si="7"/>
        <v>26164050</v>
      </c>
      <c r="P22" s="40">
        <f t="shared" ref="P22:P34" si="12">I4/$I$6</f>
        <v>11.28388278</v>
      </c>
      <c r="Q22" s="50">
        <f t="shared" ref="Q22:Q34" si="13">K4/I4</f>
        <v>8248.009252</v>
      </c>
      <c r="R22" s="38">
        <f t="shared" ref="R22:S22" si="8">J4/I4</f>
        <v>1.295244279</v>
      </c>
      <c r="S22" s="50">
        <f t="shared" si="8"/>
        <v>6367.91792</v>
      </c>
      <c r="T22" s="4"/>
      <c r="U22" s="4"/>
      <c r="V22" s="58"/>
      <c r="W22" s="59"/>
      <c r="X22" s="59"/>
      <c r="Y22" s="59"/>
      <c r="Z22" s="9"/>
      <c r="AA22" s="60"/>
      <c r="AB22" s="60"/>
      <c r="AC22" s="60"/>
    </row>
    <row r="23">
      <c r="A23" s="20" t="str">
        <f t="shared" ref="A23:E23" si="9">A5</f>
        <v>2022Q1</v>
      </c>
      <c r="B23" s="49">
        <f t="shared" si="9"/>
        <v>237</v>
      </c>
      <c r="C23" s="49">
        <f t="shared" si="9"/>
        <v>325</v>
      </c>
      <c r="D23" s="49">
        <f t="shared" si="9"/>
        <v>1908940</v>
      </c>
      <c r="E23" s="49">
        <f t="shared" si="9"/>
        <v>942755</v>
      </c>
      <c r="F23" s="40">
        <f t="shared" si="4"/>
        <v>1</v>
      </c>
      <c r="G23" s="50">
        <f t="shared" si="5"/>
        <v>8054.599156</v>
      </c>
      <c r="H23" s="38">
        <f t="shared" ref="H23:I23" si="10">C5/B5</f>
        <v>1.371308017</v>
      </c>
      <c r="I23" s="50">
        <f t="shared" si="10"/>
        <v>5873.661538</v>
      </c>
      <c r="J23" s="4"/>
      <c r="K23" s="20" t="str">
        <f t="shared" ref="K23:O23" si="11">H5</f>
        <v>2022Q1</v>
      </c>
      <c r="L23" s="49">
        <f t="shared" si="11"/>
        <v>619</v>
      </c>
      <c r="M23" s="49">
        <f t="shared" si="11"/>
        <v>939</v>
      </c>
      <c r="N23" s="49">
        <f t="shared" si="11"/>
        <v>5396435</v>
      </c>
      <c r="O23" s="49">
        <f t="shared" si="11"/>
        <v>2596110</v>
      </c>
      <c r="P23" s="40">
        <f t="shared" si="12"/>
        <v>1.133699634</v>
      </c>
      <c r="Q23" s="50">
        <f t="shared" si="13"/>
        <v>8717.988691</v>
      </c>
      <c r="R23" s="38">
        <f t="shared" ref="R23:S23" si="14">J5/I5</f>
        <v>1.516962843</v>
      </c>
      <c r="S23" s="50">
        <f t="shared" si="14"/>
        <v>5747.00213</v>
      </c>
      <c r="T23" s="4"/>
      <c r="U23" s="4"/>
      <c r="V23" s="58"/>
      <c r="W23" s="59"/>
      <c r="X23" s="59"/>
      <c r="Y23" s="59"/>
      <c r="Z23" s="9"/>
      <c r="AA23" s="60"/>
      <c r="AB23" s="60"/>
      <c r="AC23" s="60"/>
    </row>
    <row r="24">
      <c r="A24" s="20" t="str">
        <f t="shared" ref="A24:E24" si="15">A6</f>
        <v>2022Q2</v>
      </c>
      <c r="B24" s="49">
        <f t="shared" si="15"/>
        <v>318</v>
      </c>
      <c r="C24" s="49">
        <f t="shared" si="15"/>
        <v>467</v>
      </c>
      <c r="D24" s="49">
        <f t="shared" si="15"/>
        <v>2357300</v>
      </c>
      <c r="E24" s="49">
        <f t="shared" si="15"/>
        <v>1154450</v>
      </c>
      <c r="F24" s="40">
        <f t="shared" si="4"/>
        <v>1.341772152</v>
      </c>
      <c r="G24" s="50">
        <f t="shared" si="5"/>
        <v>7412.893082</v>
      </c>
      <c r="H24" s="38">
        <f t="shared" ref="H24:I24" si="16">C6/B6</f>
        <v>1.468553459</v>
      </c>
      <c r="I24" s="50">
        <f t="shared" si="16"/>
        <v>5047.751606</v>
      </c>
      <c r="J24" s="4"/>
      <c r="K24" s="20" t="str">
        <f t="shared" ref="K24:O24" si="17">H6</f>
        <v>2022Q2</v>
      </c>
      <c r="L24" s="49">
        <f t="shared" si="17"/>
        <v>546</v>
      </c>
      <c r="M24" s="49">
        <f t="shared" si="17"/>
        <v>855</v>
      </c>
      <c r="N24" s="49">
        <f t="shared" si="17"/>
        <v>4014505</v>
      </c>
      <c r="O24" s="49">
        <f t="shared" si="17"/>
        <v>1990010</v>
      </c>
      <c r="P24" s="40">
        <f t="shared" si="12"/>
        <v>1</v>
      </c>
      <c r="Q24" s="50">
        <f t="shared" si="13"/>
        <v>7352.57326</v>
      </c>
      <c r="R24" s="38">
        <f t="shared" ref="R24:S24" si="18">J6/I6</f>
        <v>1.565934066</v>
      </c>
      <c r="S24" s="50">
        <f t="shared" si="18"/>
        <v>4695.327485</v>
      </c>
      <c r="T24" s="4"/>
      <c r="U24" s="4"/>
      <c r="V24" s="58"/>
      <c r="W24" s="59"/>
      <c r="X24" s="59"/>
      <c r="Y24" s="59"/>
      <c r="Z24" s="9"/>
      <c r="AA24" s="60"/>
      <c r="AB24" s="60"/>
      <c r="AC24" s="60"/>
    </row>
    <row r="25">
      <c r="A25" s="20" t="str">
        <f t="shared" ref="A25:E25" si="19">A7</f>
        <v>2022Q3</v>
      </c>
      <c r="B25" s="49">
        <f t="shared" si="19"/>
        <v>317</v>
      </c>
      <c r="C25" s="49">
        <f t="shared" si="19"/>
        <v>468</v>
      </c>
      <c r="D25" s="49">
        <f t="shared" si="19"/>
        <v>2213530</v>
      </c>
      <c r="E25" s="49">
        <f t="shared" si="19"/>
        <v>1063370</v>
      </c>
      <c r="F25" s="40">
        <f t="shared" si="4"/>
        <v>1.337552743</v>
      </c>
      <c r="G25" s="50">
        <f t="shared" si="5"/>
        <v>6982.744479</v>
      </c>
      <c r="H25" s="38">
        <f t="shared" ref="H25:I25" si="20">C7/B7</f>
        <v>1.476340694</v>
      </c>
      <c r="I25" s="50">
        <f t="shared" si="20"/>
        <v>4729.764957</v>
      </c>
      <c r="J25" s="4"/>
      <c r="K25" s="20" t="str">
        <f t="shared" ref="K25:O25" si="21">H7</f>
        <v>2022Q3</v>
      </c>
      <c r="L25" s="49">
        <f t="shared" si="21"/>
        <v>451</v>
      </c>
      <c r="M25" s="49">
        <f t="shared" si="21"/>
        <v>696</v>
      </c>
      <c r="N25" s="49">
        <f t="shared" si="21"/>
        <v>3515930</v>
      </c>
      <c r="O25" s="49">
        <f t="shared" si="21"/>
        <v>1742015</v>
      </c>
      <c r="P25" s="40">
        <f t="shared" si="12"/>
        <v>0.826007326</v>
      </c>
      <c r="Q25" s="50">
        <f t="shared" si="13"/>
        <v>7795.853659</v>
      </c>
      <c r="R25" s="38">
        <f t="shared" ref="R25:S25" si="22">J7/I7</f>
        <v>1.543237251</v>
      </c>
      <c r="S25" s="50">
        <f t="shared" si="22"/>
        <v>5051.623563</v>
      </c>
      <c r="T25" s="4"/>
      <c r="U25" s="4"/>
      <c r="V25" s="58"/>
      <c r="W25" s="59"/>
      <c r="X25" s="59"/>
      <c r="Y25" s="59"/>
      <c r="Z25" s="9"/>
      <c r="AA25" s="60"/>
      <c r="AB25" s="60"/>
      <c r="AC25" s="60"/>
    </row>
    <row r="26">
      <c r="A26" s="20" t="str">
        <f t="shared" ref="A26:E26" si="23">A8</f>
        <v>2022Q4</v>
      </c>
      <c r="B26" s="49">
        <f t="shared" si="23"/>
        <v>366</v>
      </c>
      <c r="C26" s="49">
        <f t="shared" si="23"/>
        <v>615</v>
      </c>
      <c r="D26" s="49">
        <f t="shared" si="23"/>
        <v>3017685</v>
      </c>
      <c r="E26" s="49">
        <f t="shared" si="23"/>
        <v>1435610</v>
      </c>
      <c r="F26" s="40">
        <f t="shared" si="4"/>
        <v>1.544303797</v>
      </c>
      <c r="G26" s="50">
        <f t="shared" si="5"/>
        <v>8245.040984</v>
      </c>
      <c r="H26" s="38">
        <f t="shared" ref="H26:I26" si="24">C8/B8</f>
        <v>1.680327869</v>
      </c>
      <c r="I26" s="50">
        <f t="shared" si="24"/>
        <v>4906.804878</v>
      </c>
      <c r="J26" s="4"/>
      <c r="K26" s="20" t="str">
        <f t="shared" ref="K26:O26" si="25">H8</f>
        <v>2022Q4</v>
      </c>
      <c r="L26" s="49">
        <f t="shared" si="25"/>
        <v>939</v>
      </c>
      <c r="M26" s="49">
        <f t="shared" si="25"/>
        <v>1579</v>
      </c>
      <c r="N26" s="49">
        <f t="shared" si="25"/>
        <v>8754185</v>
      </c>
      <c r="O26" s="49">
        <f t="shared" si="25"/>
        <v>4264700</v>
      </c>
      <c r="P26" s="40">
        <f t="shared" si="12"/>
        <v>1.71978022</v>
      </c>
      <c r="Q26" s="50">
        <f t="shared" si="13"/>
        <v>9322.880724</v>
      </c>
      <c r="R26" s="38">
        <f t="shared" ref="R26:S26" si="26">J8/I8</f>
        <v>1.681576145</v>
      </c>
      <c r="S26" s="50">
        <f t="shared" si="26"/>
        <v>5544.132362</v>
      </c>
      <c r="T26" s="4"/>
      <c r="U26" s="20" t="s">
        <v>23</v>
      </c>
      <c r="V26" s="49">
        <f t="shared" ref="V26:Y26" si="27">P8</f>
        <v>5881</v>
      </c>
      <c r="W26" s="49">
        <f t="shared" si="27"/>
        <v>7651</v>
      </c>
      <c r="X26" s="49">
        <f t="shared" si="27"/>
        <v>46089890</v>
      </c>
      <c r="Y26" s="49">
        <f t="shared" si="27"/>
        <v>22577830</v>
      </c>
      <c r="Z26" s="40">
        <f t="shared" ref="Z26:Z34" si="34">P8/$P$10</f>
        <v>12.43340381</v>
      </c>
      <c r="AA26" s="50">
        <f t="shared" ref="AA26:AA34" si="35">R8/P8</f>
        <v>7837.083829</v>
      </c>
      <c r="AB26" s="38">
        <f t="shared" ref="AB26:AC26" si="28">Q8/P8</f>
        <v>1.300969223</v>
      </c>
      <c r="AC26" s="50">
        <f t="shared" si="28"/>
        <v>6024.034767</v>
      </c>
    </row>
    <row r="27">
      <c r="A27" s="20" t="str">
        <f t="shared" ref="A27:E27" si="29">A9</f>
        <v>2023Q1</v>
      </c>
      <c r="B27" s="49">
        <f t="shared" si="29"/>
        <v>234</v>
      </c>
      <c r="C27" s="49">
        <f t="shared" si="29"/>
        <v>339</v>
      </c>
      <c r="D27" s="49">
        <f t="shared" si="29"/>
        <v>1575365</v>
      </c>
      <c r="E27" s="49">
        <f t="shared" si="29"/>
        <v>740795</v>
      </c>
      <c r="F27" s="40">
        <f t="shared" si="4"/>
        <v>0.9873417722</v>
      </c>
      <c r="G27" s="50">
        <f t="shared" si="5"/>
        <v>6732.32906</v>
      </c>
      <c r="H27" s="38">
        <f t="shared" ref="H27:I27" si="30">C9/B9</f>
        <v>1.448717949</v>
      </c>
      <c r="I27" s="50">
        <f t="shared" si="30"/>
        <v>4647.094395</v>
      </c>
      <c r="J27" s="4"/>
      <c r="K27" s="20" t="str">
        <f t="shared" ref="K27:O27" si="31">H9</f>
        <v>2023Q1</v>
      </c>
      <c r="L27" s="49">
        <f t="shared" si="31"/>
        <v>418</v>
      </c>
      <c r="M27" s="49">
        <f t="shared" si="31"/>
        <v>687</v>
      </c>
      <c r="N27" s="49">
        <f t="shared" si="31"/>
        <v>3430020</v>
      </c>
      <c r="O27" s="49">
        <f t="shared" si="31"/>
        <v>1596375</v>
      </c>
      <c r="P27" s="40">
        <f t="shared" si="12"/>
        <v>0.7655677656</v>
      </c>
      <c r="Q27" s="50">
        <f t="shared" si="13"/>
        <v>8205.789474</v>
      </c>
      <c r="R27" s="38">
        <f t="shared" ref="R27:S27" si="32">J9/I9</f>
        <v>1.64354067</v>
      </c>
      <c r="S27" s="50">
        <f t="shared" si="32"/>
        <v>4992.751092</v>
      </c>
      <c r="T27" s="4"/>
      <c r="U27" s="20" t="str">
        <f t="shared" ref="U27:Y27" si="33">O9</f>
        <v>2023Q1</v>
      </c>
      <c r="V27" s="49">
        <f t="shared" si="33"/>
        <v>690</v>
      </c>
      <c r="W27" s="49">
        <f t="shared" si="33"/>
        <v>1011</v>
      </c>
      <c r="X27" s="49">
        <f t="shared" si="33"/>
        <v>5531845</v>
      </c>
      <c r="Y27" s="49">
        <f t="shared" si="33"/>
        <v>2540340</v>
      </c>
      <c r="Z27" s="40">
        <f t="shared" si="34"/>
        <v>1.458773784</v>
      </c>
      <c r="AA27" s="50">
        <f t="shared" si="35"/>
        <v>8017.166667</v>
      </c>
      <c r="AB27" s="38">
        <f t="shared" ref="AB27:AC27" si="36">Q9/P9</f>
        <v>1.465217391</v>
      </c>
      <c r="AC27" s="50">
        <f t="shared" si="36"/>
        <v>5471.656775</v>
      </c>
    </row>
    <row r="28">
      <c r="A28" s="20" t="str">
        <f t="shared" ref="A28:E28" si="37">A10</f>
        <v>2023Q2</v>
      </c>
      <c r="B28" s="49">
        <f t="shared" si="37"/>
        <v>254</v>
      </c>
      <c r="C28" s="49">
        <f t="shared" si="37"/>
        <v>408</v>
      </c>
      <c r="D28" s="49">
        <f t="shared" si="37"/>
        <v>1804770</v>
      </c>
      <c r="E28" s="49">
        <f t="shared" si="37"/>
        <v>868560</v>
      </c>
      <c r="F28" s="40">
        <f t="shared" si="4"/>
        <v>1.071729958</v>
      </c>
      <c r="G28" s="50">
        <f t="shared" si="5"/>
        <v>7105.393701</v>
      </c>
      <c r="H28" s="38">
        <f t="shared" ref="H28:I28" si="38">C10/B10</f>
        <v>1.606299213</v>
      </c>
      <c r="I28" s="50">
        <f t="shared" si="38"/>
        <v>4423.455882</v>
      </c>
      <c r="J28" s="4"/>
      <c r="K28" s="20" t="str">
        <f t="shared" ref="K28:O28" si="39">H10</f>
        <v>2023Q2</v>
      </c>
      <c r="L28" s="49">
        <f t="shared" si="39"/>
        <v>442</v>
      </c>
      <c r="M28" s="49">
        <f t="shared" si="39"/>
        <v>738</v>
      </c>
      <c r="N28" s="49">
        <f t="shared" si="39"/>
        <v>3375460</v>
      </c>
      <c r="O28" s="49">
        <f t="shared" si="39"/>
        <v>1614635</v>
      </c>
      <c r="P28" s="40">
        <f t="shared" si="12"/>
        <v>0.8095238095</v>
      </c>
      <c r="Q28" s="50">
        <f t="shared" si="13"/>
        <v>7636.78733</v>
      </c>
      <c r="R28" s="38">
        <f t="shared" ref="R28:S28" si="40">J10/I10</f>
        <v>1.669683258</v>
      </c>
      <c r="S28" s="50">
        <f t="shared" si="40"/>
        <v>4573.794038</v>
      </c>
      <c r="T28" s="4"/>
      <c r="U28" s="20" t="str">
        <f t="shared" ref="U28:Y28" si="41">O10</f>
        <v>2023Q2</v>
      </c>
      <c r="V28" s="49">
        <f t="shared" si="41"/>
        <v>473</v>
      </c>
      <c r="W28" s="49">
        <f t="shared" si="41"/>
        <v>675</v>
      </c>
      <c r="X28" s="49">
        <f t="shared" si="41"/>
        <v>3571370</v>
      </c>
      <c r="Y28" s="49">
        <f t="shared" si="41"/>
        <v>1677170</v>
      </c>
      <c r="Z28" s="40">
        <f t="shared" si="34"/>
        <v>1</v>
      </c>
      <c r="AA28" s="50">
        <f t="shared" si="35"/>
        <v>7550.465116</v>
      </c>
      <c r="AB28" s="38">
        <f t="shared" ref="AB28:AC28" si="42">Q10/P10</f>
        <v>1.427061311</v>
      </c>
      <c r="AC28" s="50">
        <f t="shared" si="42"/>
        <v>5290.918519</v>
      </c>
    </row>
    <row r="29">
      <c r="A29" s="20" t="str">
        <f t="shared" ref="A29:E29" si="43">A11</f>
        <v>2023Q3</v>
      </c>
      <c r="B29" s="49">
        <f t="shared" si="43"/>
        <v>269</v>
      </c>
      <c r="C29" s="49">
        <f t="shared" si="43"/>
        <v>385</v>
      </c>
      <c r="D29" s="49">
        <f t="shared" si="43"/>
        <v>1582735</v>
      </c>
      <c r="E29" s="49">
        <f t="shared" si="43"/>
        <v>742940</v>
      </c>
      <c r="F29" s="40">
        <f t="shared" si="4"/>
        <v>1.135021097</v>
      </c>
      <c r="G29" s="50">
        <f t="shared" si="5"/>
        <v>5883.773234</v>
      </c>
      <c r="H29" s="38">
        <f t="shared" ref="H29:I29" si="44">C11/B11</f>
        <v>1.431226766</v>
      </c>
      <c r="I29" s="50">
        <f t="shared" si="44"/>
        <v>4111</v>
      </c>
      <c r="J29" s="4"/>
      <c r="K29" s="20" t="str">
        <f t="shared" ref="K29:O29" si="45">H11</f>
        <v>2023Q3</v>
      </c>
      <c r="L29" s="49">
        <f t="shared" si="45"/>
        <v>430</v>
      </c>
      <c r="M29" s="49">
        <f t="shared" si="45"/>
        <v>731</v>
      </c>
      <c r="N29" s="49">
        <f t="shared" si="45"/>
        <v>3476385</v>
      </c>
      <c r="O29" s="49">
        <f t="shared" si="45"/>
        <v>1640210</v>
      </c>
      <c r="P29" s="40">
        <f t="shared" si="12"/>
        <v>0.7875457875</v>
      </c>
      <c r="Q29" s="50">
        <f t="shared" si="13"/>
        <v>8084.616279</v>
      </c>
      <c r="R29" s="38">
        <f t="shared" ref="R29:S29" si="46">J11/I11</f>
        <v>1.7</v>
      </c>
      <c r="S29" s="50">
        <f t="shared" si="46"/>
        <v>4755.656635</v>
      </c>
      <c r="T29" s="4"/>
      <c r="U29" s="20" t="str">
        <f t="shared" ref="U29:Y29" si="47">O11</f>
        <v>2023Q3</v>
      </c>
      <c r="V29" s="49">
        <f t="shared" si="47"/>
        <v>420</v>
      </c>
      <c r="W29" s="49">
        <f t="shared" si="47"/>
        <v>601</v>
      </c>
      <c r="X29" s="49">
        <f t="shared" si="47"/>
        <v>2838000</v>
      </c>
      <c r="Y29" s="49">
        <f t="shared" si="47"/>
        <v>1371040</v>
      </c>
      <c r="Z29" s="40">
        <f t="shared" si="34"/>
        <v>0.88794926</v>
      </c>
      <c r="AA29" s="50">
        <f t="shared" si="35"/>
        <v>6757.142857</v>
      </c>
      <c r="AB29" s="38">
        <f t="shared" ref="AB29:AC29" si="48">Q11/P11</f>
        <v>1.430952381</v>
      </c>
      <c r="AC29" s="50">
        <f t="shared" si="48"/>
        <v>4722.129784</v>
      </c>
    </row>
    <row r="30">
      <c r="A30" s="20" t="str">
        <f t="shared" ref="A30:E30" si="49">A12</f>
        <v>2023Q4</v>
      </c>
      <c r="B30" s="49">
        <f t="shared" si="49"/>
        <v>358</v>
      </c>
      <c r="C30" s="49">
        <f t="shared" si="49"/>
        <v>625</v>
      </c>
      <c r="D30" s="49">
        <f t="shared" si="49"/>
        <v>3222065</v>
      </c>
      <c r="E30" s="49">
        <f t="shared" si="49"/>
        <v>1519155</v>
      </c>
      <c r="F30" s="40">
        <f t="shared" si="4"/>
        <v>1.510548523</v>
      </c>
      <c r="G30" s="50">
        <f t="shared" si="5"/>
        <v>9000.181564</v>
      </c>
      <c r="H30" s="38">
        <f t="shared" ref="H30:I30" si="50">C12/B12</f>
        <v>1.745810056</v>
      </c>
      <c r="I30" s="50">
        <f t="shared" si="50"/>
        <v>5155.304</v>
      </c>
      <c r="J30" s="4"/>
      <c r="K30" s="20" t="str">
        <f t="shared" ref="K30:O30" si="51">H12</f>
        <v>2023Q4</v>
      </c>
      <c r="L30" s="49">
        <f t="shared" si="51"/>
        <v>885</v>
      </c>
      <c r="M30" s="49">
        <f t="shared" si="51"/>
        <v>1542</v>
      </c>
      <c r="N30" s="49">
        <f t="shared" si="51"/>
        <v>8510590</v>
      </c>
      <c r="O30" s="49">
        <f t="shared" si="51"/>
        <v>4095850</v>
      </c>
      <c r="P30" s="40">
        <f t="shared" si="12"/>
        <v>1.620879121</v>
      </c>
      <c r="Q30" s="50">
        <f t="shared" si="13"/>
        <v>9616.485876</v>
      </c>
      <c r="R30" s="38">
        <f t="shared" ref="R30:S30" si="52">J12/I12</f>
        <v>1.742372881</v>
      </c>
      <c r="S30" s="50">
        <f t="shared" si="52"/>
        <v>5519.189364</v>
      </c>
      <c r="T30" s="4"/>
      <c r="U30" s="20" t="str">
        <f t="shared" ref="U30:Y30" si="53">O12</f>
        <v>2023Q4</v>
      </c>
      <c r="V30" s="49">
        <f t="shared" si="53"/>
        <v>999</v>
      </c>
      <c r="W30" s="49">
        <f t="shared" si="53"/>
        <v>1660</v>
      </c>
      <c r="X30" s="49">
        <f t="shared" si="53"/>
        <v>8927160</v>
      </c>
      <c r="Y30" s="49">
        <f t="shared" si="53"/>
        <v>4306665</v>
      </c>
      <c r="Z30" s="40">
        <f t="shared" si="34"/>
        <v>2.11205074</v>
      </c>
      <c r="AA30" s="50">
        <f t="shared" si="35"/>
        <v>8936.096096</v>
      </c>
      <c r="AB30" s="38">
        <f t="shared" ref="AB30:AC30" si="54">Q12/P12</f>
        <v>1.661661662</v>
      </c>
      <c r="AC30" s="50">
        <f t="shared" si="54"/>
        <v>5377.807229</v>
      </c>
    </row>
    <row r="31">
      <c r="A31" s="20" t="str">
        <f t="shared" ref="A31:E31" si="55">A13</f>
        <v>2024Q1</v>
      </c>
      <c r="B31" s="49">
        <f t="shared" si="55"/>
        <v>220</v>
      </c>
      <c r="C31" s="49">
        <f t="shared" si="55"/>
        <v>323</v>
      </c>
      <c r="D31" s="49">
        <f t="shared" si="55"/>
        <v>1638945</v>
      </c>
      <c r="E31" s="49">
        <f t="shared" si="55"/>
        <v>766755</v>
      </c>
      <c r="F31" s="40">
        <f t="shared" si="4"/>
        <v>0.9282700422</v>
      </c>
      <c r="G31" s="50">
        <f t="shared" si="5"/>
        <v>7449.75</v>
      </c>
      <c r="H31" s="38">
        <f t="shared" ref="H31:I31" si="56">C13/B13</f>
        <v>1.468181818</v>
      </c>
      <c r="I31" s="50">
        <f t="shared" si="56"/>
        <v>5074.133127</v>
      </c>
      <c r="J31" s="4"/>
      <c r="K31" s="20" t="str">
        <f t="shared" ref="K31:O31" si="57">H13</f>
        <v>2024Q1</v>
      </c>
      <c r="L31" s="49">
        <f t="shared" si="57"/>
        <v>381</v>
      </c>
      <c r="M31" s="49">
        <f t="shared" si="57"/>
        <v>625</v>
      </c>
      <c r="N31" s="49">
        <f t="shared" si="57"/>
        <v>3439535</v>
      </c>
      <c r="O31" s="49">
        <f t="shared" si="57"/>
        <v>1651705</v>
      </c>
      <c r="P31" s="40">
        <f t="shared" si="12"/>
        <v>0.6978021978</v>
      </c>
      <c r="Q31" s="50">
        <f t="shared" si="13"/>
        <v>9027.650919</v>
      </c>
      <c r="R31" s="38">
        <f t="shared" ref="R31:S31" si="58">J13/I13</f>
        <v>1.640419948</v>
      </c>
      <c r="S31" s="50">
        <f t="shared" si="58"/>
        <v>5503.256</v>
      </c>
      <c r="T31" s="4"/>
      <c r="U31" s="20" t="str">
        <f t="shared" ref="U31:Y31" si="59">O13</f>
        <v>2024Q1</v>
      </c>
      <c r="V31" s="49">
        <f t="shared" si="59"/>
        <v>387</v>
      </c>
      <c r="W31" s="49">
        <f t="shared" si="59"/>
        <v>562</v>
      </c>
      <c r="X31" s="49">
        <f t="shared" si="59"/>
        <v>3135275</v>
      </c>
      <c r="Y31" s="49">
        <f t="shared" si="59"/>
        <v>1509805</v>
      </c>
      <c r="Z31" s="40">
        <f t="shared" si="34"/>
        <v>0.8181818182</v>
      </c>
      <c r="AA31" s="50">
        <f t="shared" si="35"/>
        <v>8101.485788</v>
      </c>
      <c r="AB31" s="38">
        <f t="shared" ref="AB31:AC31" si="60">Q13/P13</f>
        <v>1.452196382</v>
      </c>
      <c r="AC31" s="50">
        <f t="shared" si="60"/>
        <v>5578.781139</v>
      </c>
    </row>
    <row r="32">
      <c r="A32" s="20" t="str">
        <f t="shared" ref="A32:E32" si="61">A14</f>
        <v>2024Q2</v>
      </c>
      <c r="B32" s="49">
        <f t="shared" si="61"/>
        <v>224</v>
      </c>
      <c r="C32" s="49">
        <f t="shared" si="61"/>
        <v>338</v>
      </c>
      <c r="D32" s="49">
        <f t="shared" si="61"/>
        <v>1742675</v>
      </c>
      <c r="E32" s="49">
        <f t="shared" si="61"/>
        <v>828905</v>
      </c>
      <c r="F32" s="40">
        <f t="shared" si="4"/>
        <v>0.9451476793</v>
      </c>
      <c r="G32" s="50">
        <f t="shared" si="5"/>
        <v>7779.799107</v>
      </c>
      <c r="H32" s="38">
        <f t="shared" ref="H32:I32" si="62">C14/B14</f>
        <v>1.508928571</v>
      </c>
      <c r="I32" s="50">
        <f t="shared" si="62"/>
        <v>5155.843195</v>
      </c>
      <c r="J32" s="4"/>
      <c r="K32" s="20" t="str">
        <f t="shared" ref="K32:O32" si="63">H14</f>
        <v>2024Q2</v>
      </c>
      <c r="L32" s="49">
        <f t="shared" si="63"/>
        <v>384</v>
      </c>
      <c r="M32" s="49">
        <f t="shared" si="63"/>
        <v>654</v>
      </c>
      <c r="N32" s="49">
        <f t="shared" si="63"/>
        <v>3467475</v>
      </c>
      <c r="O32" s="49">
        <f t="shared" si="63"/>
        <v>1650495</v>
      </c>
      <c r="P32" s="40">
        <f t="shared" si="12"/>
        <v>0.7032967033</v>
      </c>
      <c r="Q32" s="50">
        <f t="shared" si="13"/>
        <v>9029.882813</v>
      </c>
      <c r="R32" s="38">
        <f t="shared" ref="R32:S32" si="64">J14/I14</f>
        <v>1.703125</v>
      </c>
      <c r="S32" s="50">
        <f t="shared" si="64"/>
        <v>5301.949541</v>
      </c>
      <c r="T32" s="4"/>
      <c r="U32" s="20" t="str">
        <f t="shared" ref="U32:Y32" si="65">O14</f>
        <v>2024Q2</v>
      </c>
      <c r="V32" s="49">
        <f t="shared" si="65"/>
        <v>343</v>
      </c>
      <c r="W32" s="49">
        <f t="shared" si="65"/>
        <v>522</v>
      </c>
      <c r="X32" s="49">
        <f t="shared" si="65"/>
        <v>2546775</v>
      </c>
      <c r="Y32" s="49">
        <f t="shared" si="65"/>
        <v>1241075</v>
      </c>
      <c r="Z32" s="40">
        <f t="shared" si="34"/>
        <v>0.7251585624</v>
      </c>
      <c r="AA32" s="50">
        <f t="shared" si="35"/>
        <v>7425</v>
      </c>
      <c r="AB32" s="38">
        <f t="shared" ref="AB32:AC32" si="66">Q14/P14</f>
        <v>1.521865889</v>
      </c>
      <c r="AC32" s="50">
        <f t="shared" si="66"/>
        <v>4878.87931</v>
      </c>
    </row>
    <row r="33">
      <c r="A33" s="61" t="str">
        <f t="shared" ref="A33:E33" si="67">A15</f>
        <v>2024Q3</v>
      </c>
      <c r="B33" s="49">
        <f t="shared" si="67"/>
        <v>230</v>
      </c>
      <c r="C33" s="49">
        <f t="shared" si="67"/>
        <v>349</v>
      </c>
      <c r="D33" s="49">
        <f t="shared" si="67"/>
        <v>1446720</v>
      </c>
      <c r="E33" s="49">
        <f t="shared" si="67"/>
        <v>692780</v>
      </c>
      <c r="F33" s="40">
        <f t="shared" si="4"/>
        <v>0.970464135</v>
      </c>
      <c r="G33" s="50">
        <f t="shared" si="5"/>
        <v>6290.086957</v>
      </c>
      <c r="H33" s="38">
        <f t="shared" ref="H33:I33" si="68">C15/B15</f>
        <v>1.517391304</v>
      </c>
      <c r="I33" s="50">
        <f t="shared" si="68"/>
        <v>4145.329513</v>
      </c>
      <c r="J33" s="4"/>
      <c r="K33" s="20" t="str">
        <f t="shared" ref="K33:O33" si="69">H15</f>
        <v>2024Q3</v>
      </c>
      <c r="L33" s="49">
        <f t="shared" si="69"/>
        <v>351</v>
      </c>
      <c r="M33" s="49">
        <f t="shared" si="69"/>
        <v>561</v>
      </c>
      <c r="N33" s="49">
        <f t="shared" si="69"/>
        <v>2413840</v>
      </c>
      <c r="O33" s="49">
        <f t="shared" si="69"/>
        <v>1158025</v>
      </c>
      <c r="P33" s="40">
        <f t="shared" si="12"/>
        <v>0.6428571429</v>
      </c>
      <c r="Q33" s="50">
        <f t="shared" si="13"/>
        <v>6877.037037</v>
      </c>
      <c r="R33" s="38">
        <f t="shared" ref="R33:S33" si="70">J15/I15</f>
        <v>1.598290598</v>
      </c>
      <c r="S33" s="50">
        <f t="shared" si="70"/>
        <v>4302.745098</v>
      </c>
      <c r="T33" s="4"/>
      <c r="U33" s="20" t="str">
        <f t="shared" ref="U33:Y33" si="71">O15</f>
        <v>2024Q3</v>
      </c>
      <c r="V33" s="49">
        <f t="shared" si="71"/>
        <v>356</v>
      </c>
      <c r="W33" s="49">
        <f t="shared" si="71"/>
        <v>518</v>
      </c>
      <c r="X33" s="49">
        <f t="shared" si="71"/>
        <v>2251975</v>
      </c>
      <c r="Y33" s="49">
        <f t="shared" si="71"/>
        <v>1074480</v>
      </c>
      <c r="Z33" s="40">
        <f t="shared" si="34"/>
        <v>0.7526427061</v>
      </c>
      <c r="AA33" s="50">
        <f t="shared" si="35"/>
        <v>6325.772472</v>
      </c>
      <c r="AB33" s="38">
        <f t="shared" ref="AB33:AC33" si="72">Q15/P15</f>
        <v>1.45505618</v>
      </c>
      <c r="AC33" s="50">
        <f t="shared" si="72"/>
        <v>4347.442085</v>
      </c>
    </row>
    <row r="34">
      <c r="A34" s="62" t="str">
        <f t="shared" ref="A34:E34" si="73">A16</f>
        <v>2024Q4</v>
      </c>
      <c r="B34" s="63">
        <f t="shared" si="73"/>
        <v>311</v>
      </c>
      <c r="C34" s="63">
        <f t="shared" si="73"/>
        <v>523</v>
      </c>
      <c r="D34" s="63">
        <f t="shared" si="73"/>
        <v>2693735</v>
      </c>
      <c r="E34" s="63">
        <f t="shared" si="73"/>
        <v>1293325</v>
      </c>
      <c r="F34" s="64">
        <f t="shared" si="4"/>
        <v>1.312236287</v>
      </c>
      <c r="G34" s="65">
        <f t="shared" si="5"/>
        <v>8661.527331</v>
      </c>
      <c r="H34" s="66">
        <f t="shared" ref="H34:I34" si="74">C16/B16</f>
        <v>1.681672026</v>
      </c>
      <c r="I34" s="65">
        <f t="shared" si="74"/>
        <v>5150.544933</v>
      </c>
      <c r="J34" s="4"/>
      <c r="K34" s="62" t="str">
        <f t="shared" ref="K34:O34" si="75">H16</f>
        <v>2024Q4</v>
      </c>
      <c r="L34" s="63">
        <f t="shared" si="75"/>
        <v>743</v>
      </c>
      <c r="M34" s="63">
        <f t="shared" si="75"/>
        <v>1364</v>
      </c>
      <c r="N34" s="63">
        <f t="shared" si="75"/>
        <v>7542645</v>
      </c>
      <c r="O34" s="63">
        <f t="shared" si="75"/>
        <v>3669875</v>
      </c>
      <c r="P34" s="64">
        <f t="shared" si="12"/>
        <v>1.360805861</v>
      </c>
      <c r="Q34" s="65">
        <f t="shared" si="13"/>
        <v>10151.60834</v>
      </c>
      <c r="R34" s="66">
        <f t="shared" ref="R34:S34" si="76">J16/I16</f>
        <v>1.835800808</v>
      </c>
      <c r="S34" s="65">
        <f t="shared" si="76"/>
        <v>5529.798387</v>
      </c>
      <c r="T34" s="4"/>
      <c r="U34" s="62" t="str">
        <f t="shared" ref="U34:Y34" si="77">O16</f>
        <v>2024Q4</v>
      </c>
      <c r="V34" s="63">
        <f t="shared" si="77"/>
        <v>778</v>
      </c>
      <c r="W34" s="63">
        <f t="shared" si="77"/>
        <v>1300</v>
      </c>
      <c r="X34" s="63">
        <f t="shared" si="77"/>
        <v>7285410</v>
      </c>
      <c r="Y34" s="63">
        <f t="shared" si="77"/>
        <v>3469510</v>
      </c>
      <c r="Z34" s="64">
        <f t="shared" si="34"/>
        <v>1.644820296</v>
      </c>
      <c r="AA34" s="65">
        <f t="shared" si="35"/>
        <v>9364.280206</v>
      </c>
      <c r="AB34" s="66">
        <f t="shared" ref="AB34:AC34" si="78">Q16/P16</f>
        <v>1.670951157</v>
      </c>
      <c r="AC34" s="65">
        <f t="shared" si="78"/>
        <v>5604.161538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67" t="str">
        <f t="shared" ref="A39:A53" si="79">A20</f>
        <v>Quarter</v>
      </c>
      <c r="B39" s="20" t="s">
        <v>34</v>
      </c>
      <c r="C39" s="20" t="s">
        <v>35</v>
      </c>
      <c r="D39" s="20" t="s">
        <v>36</v>
      </c>
      <c r="E39" s="20" t="s">
        <v>34</v>
      </c>
      <c r="F39" s="20" t="s">
        <v>35</v>
      </c>
      <c r="G39" s="20" t="s">
        <v>36</v>
      </c>
      <c r="H39" s="20" t="s">
        <v>34</v>
      </c>
      <c r="I39" s="20" t="s">
        <v>35</v>
      </c>
      <c r="J39" s="20" t="s">
        <v>36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67" t="str">
        <f t="shared" si="79"/>
        <v>2021Q3</v>
      </c>
      <c r="B40" s="40">
        <f t="shared" ref="B40:B53" si="80">F21</f>
        <v>11.99156118</v>
      </c>
      <c r="C40" s="9"/>
      <c r="D40" s="9"/>
      <c r="E40" s="50">
        <f t="shared" ref="E40:E53" si="81">G21</f>
        <v>6638.298733</v>
      </c>
      <c r="F40" s="68"/>
      <c r="G40" s="68"/>
      <c r="H40" s="50">
        <f t="shared" ref="H40:H53" si="82">I21</f>
        <v>5250.777901</v>
      </c>
      <c r="I40" s="68"/>
      <c r="J40" s="68"/>
      <c r="K40" s="68"/>
      <c r="L40" s="58"/>
      <c r="M40" s="59"/>
      <c r="N40" s="59"/>
      <c r="O40" s="59"/>
      <c r="P40" s="9"/>
      <c r="Q40" s="60"/>
      <c r="R40" s="60"/>
      <c r="S40" s="60"/>
      <c r="T40" s="4"/>
      <c r="U40" s="4"/>
      <c r="V40" s="58"/>
      <c r="W40" s="59"/>
      <c r="X40" s="59"/>
      <c r="Y40" s="59"/>
      <c r="Z40" s="9"/>
      <c r="AA40" s="60"/>
      <c r="AB40" s="60"/>
      <c r="AC40" s="60"/>
    </row>
    <row r="41">
      <c r="A41" s="67" t="str">
        <f t="shared" si="79"/>
        <v>2021Q4</v>
      </c>
      <c r="B41" s="40">
        <f t="shared" si="80"/>
        <v>2.232067511</v>
      </c>
      <c r="C41" s="40">
        <f t="shared" ref="C41:C53" si="83">P22</f>
        <v>11.28388278</v>
      </c>
      <c r="D41" s="9"/>
      <c r="E41" s="50">
        <f t="shared" si="81"/>
        <v>8274.120983</v>
      </c>
      <c r="F41" s="50">
        <f t="shared" ref="F41:F53" si="84">Q22</f>
        <v>8248.009252</v>
      </c>
      <c r="G41" s="68"/>
      <c r="H41" s="50">
        <f t="shared" si="82"/>
        <v>5350.867971</v>
      </c>
      <c r="I41" s="50">
        <f t="shared" ref="I41:I53" si="85">S22</f>
        <v>6367.91792</v>
      </c>
      <c r="J41" s="68"/>
      <c r="K41" s="68"/>
      <c r="L41" s="59"/>
      <c r="M41" s="59"/>
      <c r="N41" s="59"/>
      <c r="O41" s="59"/>
      <c r="P41" s="9"/>
      <c r="Q41" s="68"/>
      <c r="R41" s="60"/>
      <c r="S41" s="68"/>
      <c r="T41" s="4"/>
      <c r="U41" s="4"/>
      <c r="V41" s="58"/>
      <c r="W41" s="59"/>
      <c r="X41" s="59"/>
      <c r="Y41" s="59"/>
      <c r="Z41" s="9"/>
      <c r="AA41" s="60"/>
      <c r="AB41" s="60"/>
      <c r="AC41" s="60"/>
    </row>
    <row r="42">
      <c r="A42" s="67" t="str">
        <f t="shared" si="79"/>
        <v>2022Q1</v>
      </c>
      <c r="B42" s="40">
        <f t="shared" si="80"/>
        <v>1</v>
      </c>
      <c r="C42" s="40">
        <f t="shared" si="83"/>
        <v>1.133699634</v>
      </c>
      <c r="D42" s="9"/>
      <c r="E42" s="50">
        <f t="shared" si="81"/>
        <v>8054.599156</v>
      </c>
      <c r="F42" s="50">
        <f t="shared" si="84"/>
        <v>8717.988691</v>
      </c>
      <c r="G42" s="68"/>
      <c r="H42" s="50">
        <f t="shared" si="82"/>
        <v>5873.661538</v>
      </c>
      <c r="I42" s="50">
        <f t="shared" si="85"/>
        <v>5747.00213</v>
      </c>
      <c r="J42" s="68"/>
      <c r="K42" s="68"/>
      <c r="L42" s="59"/>
      <c r="M42" s="59"/>
      <c r="N42" s="59"/>
      <c r="O42" s="59"/>
      <c r="P42" s="9"/>
      <c r="Q42" s="68"/>
      <c r="R42" s="60"/>
      <c r="S42" s="68"/>
      <c r="T42" s="4"/>
      <c r="U42" s="4"/>
      <c r="V42" s="58"/>
      <c r="W42" s="59"/>
      <c r="X42" s="59"/>
      <c r="Y42" s="59"/>
      <c r="Z42" s="9"/>
      <c r="AA42" s="60"/>
      <c r="AB42" s="60"/>
      <c r="AC42" s="60"/>
    </row>
    <row r="43">
      <c r="A43" s="67" t="str">
        <f t="shared" si="79"/>
        <v>2022Q2</v>
      </c>
      <c r="B43" s="40">
        <f t="shared" si="80"/>
        <v>1.341772152</v>
      </c>
      <c r="C43" s="40">
        <f t="shared" si="83"/>
        <v>1</v>
      </c>
      <c r="D43" s="9"/>
      <c r="E43" s="50">
        <f t="shared" si="81"/>
        <v>7412.893082</v>
      </c>
      <c r="F43" s="50">
        <f t="shared" si="84"/>
        <v>7352.57326</v>
      </c>
      <c r="G43" s="68"/>
      <c r="H43" s="50">
        <f t="shared" si="82"/>
        <v>5047.751606</v>
      </c>
      <c r="I43" s="50">
        <f t="shared" si="85"/>
        <v>4695.327485</v>
      </c>
      <c r="J43" s="68"/>
      <c r="K43" s="68"/>
      <c r="L43" s="59"/>
      <c r="M43" s="59"/>
      <c r="N43" s="59"/>
      <c r="O43" s="59"/>
      <c r="P43" s="9"/>
      <c r="Q43" s="68"/>
      <c r="R43" s="60"/>
      <c r="S43" s="68"/>
      <c r="T43" s="4"/>
      <c r="U43" s="4"/>
      <c r="V43" s="58"/>
      <c r="W43" s="59"/>
      <c r="X43" s="59"/>
      <c r="Y43" s="59"/>
      <c r="Z43" s="9"/>
      <c r="AA43" s="60"/>
      <c r="AB43" s="60"/>
      <c r="AC43" s="60"/>
    </row>
    <row r="44">
      <c r="A44" s="67" t="str">
        <f t="shared" si="79"/>
        <v>2022Q3</v>
      </c>
      <c r="B44" s="40">
        <f t="shared" si="80"/>
        <v>1.337552743</v>
      </c>
      <c r="C44" s="40">
        <f t="shared" si="83"/>
        <v>0.826007326</v>
      </c>
      <c r="D44" s="9"/>
      <c r="E44" s="50">
        <f t="shared" si="81"/>
        <v>6982.744479</v>
      </c>
      <c r="F44" s="50">
        <f t="shared" si="84"/>
        <v>7795.853659</v>
      </c>
      <c r="G44" s="68"/>
      <c r="H44" s="50">
        <f t="shared" si="82"/>
        <v>4729.764957</v>
      </c>
      <c r="I44" s="50">
        <f t="shared" si="85"/>
        <v>5051.623563</v>
      </c>
      <c r="J44" s="68"/>
      <c r="K44" s="68"/>
      <c r="L44" s="59"/>
      <c r="M44" s="59"/>
      <c r="N44" s="59"/>
      <c r="O44" s="59"/>
      <c r="P44" s="9"/>
      <c r="Q44" s="68"/>
      <c r="R44" s="60"/>
      <c r="S44" s="68"/>
      <c r="T44" s="4"/>
      <c r="U44" s="4"/>
      <c r="V44" s="58"/>
      <c r="W44" s="59"/>
      <c r="X44" s="59"/>
      <c r="Y44" s="59"/>
      <c r="Z44" s="9"/>
      <c r="AA44" s="60"/>
      <c r="AB44" s="60"/>
      <c r="AC44" s="60"/>
    </row>
    <row r="45">
      <c r="A45" s="67" t="str">
        <f t="shared" si="79"/>
        <v>2022Q4</v>
      </c>
      <c r="B45" s="40">
        <f t="shared" si="80"/>
        <v>1.544303797</v>
      </c>
      <c r="C45" s="40">
        <f t="shared" si="83"/>
        <v>1.71978022</v>
      </c>
      <c r="D45" s="40">
        <f t="shared" ref="D45:D53" si="86">Z26</f>
        <v>12.43340381</v>
      </c>
      <c r="E45" s="50">
        <f t="shared" si="81"/>
        <v>8245.040984</v>
      </c>
      <c r="F45" s="50">
        <f t="shared" si="84"/>
        <v>9322.880724</v>
      </c>
      <c r="G45" s="50">
        <f t="shared" ref="G45:G53" si="87">AA26</f>
        <v>7837.083829</v>
      </c>
      <c r="H45" s="50">
        <f t="shared" si="82"/>
        <v>4906.804878</v>
      </c>
      <c r="I45" s="50">
        <f t="shared" si="85"/>
        <v>5544.132362</v>
      </c>
      <c r="J45" s="50">
        <f t="shared" ref="J45:J53" si="88">AC26</f>
        <v>6024.034767</v>
      </c>
      <c r="K45" s="68"/>
      <c r="L45" s="59"/>
      <c r="M45" s="59"/>
      <c r="N45" s="59"/>
      <c r="O45" s="59"/>
      <c r="P45" s="9"/>
      <c r="Q45" s="68"/>
      <c r="R45" s="60"/>
      <c r="S45" s="68"/>
      <c r="T45" s="4"/>
      <c r="U45" s="4"/>
      <c r="V45" s="59"/>
      <c r="W45" s="59"/>
      <c r="X45" s="59"/>
      <c r="Y45" s="59"/>
      <c r="Z45" s="9"/>
      <c r="AA45" s="68"/>
      <c r="AB45" s="60"/>
      <c r="AC45" s="68"/>
    </row>
    <row r="46">
      <c r="A46" s="67" t="str">
        <f t="shared" si="79"/>
        <v>2023Q1</v>
      </c>
      <c r="B46" s="40">
        <f t="shared" si="80"/>
        <v>0.9873417722</v>
      </c>
      <c r="C46" s="40">
        <f t="shared" si="83"/>
        <v>0.7655677656</v>
      </c>
      <c r="D46" s="40">
        <f t="shared" si="86"/>
        <v>1.458773784</v>
      </c>
      <c r="E46" s="50">
        <f t="shared" si="81"/>
        <v>6732.32906</v>
      </c>
      <c r="F46" s="50">
        <f t="shared" si="84"/>
        <v>8205.789474</v>
      </c>
      <c r="G46" s="50">
        <f t="shared" si="87"/>
        <v>8017.166667</v>
      </c>
      <c r="H46" s="50">
        <f t="shared" si="82"/>
        <v>4647.094395</v>
      </c>
      <c r="I46" s="50">
        <f t="shared" si="85"/>
        <v>4992.751092</v>
      </c>
      <c r="J46" s="50">
        <f t="shared" si="88"/>
        <v>5471.656775</v>
      </c>
      <c r="K46" s="68"/>
      <c r="L46" s="59"/>
      <c r="M46" s="59"/>
      <c r="N46" s="59"/>
      <c r="O46" s="59"/>
      <c r="P46" s="9"/>
      <c r="Q46" s="68"/>
      <c r="R46" s="60"/>
      <c r="S46" s="68"/>
      <c r="T46" s="4"/>
      <c r="U46" s="4"/>
      <c r="V46" s="59"/>
      <c r="W46" s="59"/>
      <c r="X46" s="59"/>
      <c r="Y46" s="59"/>
      <c r="Z46" s="9"/>
      <c r="AA46" s="68"/>
      <c r="AB46" s="60"/>
      <c r="AC46" s="68"/>
    </row>
    <row r="47">
      <c r="A47" s="67" t="str">
        <f t="shared" si="79"/>
        <v>2023Q2</v>
      </c>
      <c r="B47" s="40">
        <f t="shared" si="80"/>
        <v>1.071729958</v>
      </c>
      <c r="C47" s="40">
        <f t="shared" si="83"/>
        <v>0.8095238095</v>
      </c>
      <c r="D47" s="40">
        <f t="shared" si="86"/>
        <v>1</v>
      </c>
      <c r="E47" s="50">
        <f t="shared" si="81"/>
        <v>7105.393701</v>
      </c>
      <c r="F47" s="50">
        <f t="shared" si="84"/>
        <v>7636.78733</v>
      </c>
      <c r="G47" s="50">
        <f t="shared" si="87"/>
        <v>7550.465116</v>
      </c>
      <c r="H47" s="50">
        <f t="shared" si="82"/>
        <v>4423.455882</v>
      </c>
      <c r="I47" s="50">
        <f t="shared" si="85"/>
        <v>4573.794038</v>
      </c>
      <c r="J47" s="50">
        <f t="shared" si="88"/>
        <v>5290.918519</v>
      </c>
      <c r="K47" s="68"/>
      <c r="L47" s="59"/>
      <c r="M47" s="59"/>
      <c r="N47" s="59"/>
      <c r="O47" s="59"/>
      <c r="P47" s="9"/>
      <c r="Q47" s="68"/>
      <c r="R47" s="60"/>
      <c r="S47" s="68"/>
      <c r="T47" s="4"/>
      <c r="U47" s="4"/>
      <c r="V47" s="59"/>
      <c r="W47" s="59"/>
      <c r="X47" s="59"/>
      <c r="Y47" s="59"/>
      <c r="Z47" s="9"/>
      <c r="AA47" s="68"/>
      <c r="AB47" s="60"/>
      <c r="AC47" s="68"/>
    </row>
    <row r="48">
      <c r="A48" s="67" t="str">
        <f t="shared" si="79"/>
        <v>2023Q3</v>
      </c>
      <c r="B48" s="40">
        <f t="shared" si="80"/>
        <v>1.135021097</v>
      </c>
      <c r="C48" s="40">
        <f t="shared" si="83"/>
        <v>0.7875457875</v>
      </c>
      <c r="D48" s="40">
        <f t="shared" si="86"/>
        <v>0.88794926</v>
      </c>
      <c r="E48" s="50">
        <f t="shared" si="81"/>
        <v>5883.773234</v>
      </c>
      <c r="F48" s="50">
        <f t="shared" si="84"/>
        <v>8084.616279</v>
      </c>
      <c r="G48" s="50">
        <f t="shared" si="87"/>
        <v>6757.142857</v>
      </c>
      <c r="H48" s="50">
        <f t="shared" si="82"/>
        <v>4111</v>
      </c>
      <c r="I48" s="50">
        <f t="shared" si="85"/>
        <v>4755.656635</v>
      </c>
      <c r="J48" s="50">
        <f t="shared" si="88"/>
        <v>4722.129784</v>
      </c>
    </row>
    <row r="49">
      <c r="A49" s="67" t="str">
        <f t="shared" si="79"/>
        <v>2023Q4</v>
      </c>
      <c r="B49" s="40">
        <f t="shared" si="80"/>
        <v>1.510548523</v>
      </c>
      <c r="C49" s="40">
        <f t="shared" si="83"/>
        <v>1.620879121</v>
      </c>
      <c r="D49" s="40">
        <f t="shared" si="86"/>
        <v>2.11205074</v>
      </c>
      <c r="E49" s="50">
        <f t="shared" si="81"/>
        <v>9000.181564</v>
      </c>
      <c r="F49" s="50">
        <f t="shared" si="84"/>
        <v>9616.485876</v>
      </c>
      <c r="G49" s="50">
        <f t="shared" si="87"/>
        <v>8936.096096</v>
      </c>
      <c r="H49" s="50">
        <f t="shared" si="82"/>
        <v>5155.304</v>
      </c>
      <c r="I49" s="50">
        <f t="shared" si="85"/>
        <v>5519.189364</v>
      </c>
      <c r="J49" s="50">
        <f t="shared" si="88"/>
        <v>5377.807229</v>
      </c>
    </row>
    <row r="50">
      <c r="A50" s="67" t="str">
        <f t="shared" si="79"/>
        <v>2024Q1</v>
      </c>
      <c r="B50" s="40">
        <f t="shared" si="80"/>
        <v>0.9282700422</v>
      </c>
      <c r="C50" s="40">
        <f t="shared" si="83"/>
        <v>0.6978021978</v>
      </c>
      <c r="D50" s="40">
        <f t="shared" si="86"/>
        <v>0.8181818182</v>
      </c>
      <c r="E50" s="50">
        <f t="shared" si="81"/>
        <v>7449.75</v>
      </c>
      <c r="F50" s="50">
        <f t="shared" si="84"/>
        <v>9027.650919</v>
      </c>
      <c r="G50" s="50">
        <f t="shared" si="87"/>
        <v>8101.485788</v>
      </c>
      <c r="H50" s="50">
        <f t="shared" si="82"/>
        <v>5074.133127</v>
      </c>
      <c r="I50" s="50">
        <f t="shared" si="85"/>
        <v>5503.256</v>
      </c>
      <c r="J50" s="50">
        <f t="shared" si="88"/>
        <v>5578.781139</v>
      </c>
    </row>
    <row r="51">
      <c r="A51" s="67" t="str">
        <f t="shared" si="79"/>
        <v>2024Q2</v>
      </c>
      <c r="B51" s="40">
        <f t="shared" si="80"/>
        <v>0.9451476793</v>
      </c>
      <c r="C51" s="40">
        <f t="shared" si="83"/>
        <v>0.7032967033</v>
      </c>
      <c r="D51" s="40">
        <f t="shared" si="86"/>
        <v>0.7251585624</v>
      </c>
      <c r="E51" s="50">
        <f t="shared" si="81"/>
        <v>7779.799107</v>
      </c>
      <c r="F51" s="50">
        <f t="shared" si="84"/>
        <v>9029.882813</v>
      </c>
      <c r="G51" s="50">
        <f t="shared" si="87"/>
        <v>7425</v>
      </c>
      <c r="H51" s="50">
        <f t="shared" si="82"/>
        <v>5155.843195</v>
      </c>
      <c r="I51" s="50">
        <f t="shared" si="85"/>
        <v>5301.949541</v>
      </c>
      <c r="J51" s="50">
        <f t="shared" si="88"/>
        <v>4878.87931</v>
      </c>
    </row>
    <row r="52">
      <c r="A52" s="69" t="str">
        <f t="shared" si="79"/>
        <v>2024Q3</v>
      </c>
      <c r="B52" s="40">
        <f t="shared" si="80"/>
        <v>0.970464135</v>
      </c>
      <c r="C52" s="40">
        <f t="shared" si="83"/>
        <v>0.6428571429</v>
      </c>
      <c r="D52" s="40">
        <f t="shared" si="86"/>
        <v>0.7526427061</v>
      </c>
      <c r="E52" s="50">
        <f t="shared" si="81"/>
        <v>6290.086957</v>
      </c>
      <c r="F52" s="50">
        <f t="shared" si="84"/>
        <v>6877.037037</v>
      </c>
      <c r="G52" s="50">
        <f t="shared" si="87"/>
        <v>6325.772472</v>
      </c>
      <c r="H52" s="50">
        <f t="shared" si="82"/>
        <v>4145.329513</v>
      </c>
      <c r="I52" s="50">
        <f t="shared" si="85"/>
        <v>4302.745098</v>
      </c>
      <c r="J52" s="50">
        <f t="shared" si="88"/>
        <v>4347.442085</v>
      </c>
    </row>
    <row r="53">
      <c r="A53" s="67" t="str">
        <f t="shared" si="79"/>
        <v>2024Q4</v>
      </c>
      <c r="B53" s="40">
        <f t="shared" si="80"/>
        <v>1.312236287</v>
      </c>
      <c r="C53" s="40">
        <f t="shared" si="83"/>
        <v>1.360805861</v>
      </c>
      <c r="D53" s="40">
        <f t="shared" si="86"/>
        <v>1.644820296</v>
      </c>
      <c r="E53" s="50">
        <f t="shared" si="81"/>
        <v>8661.527331</v>
      </c>
      <c r="F53" s="50">
        <f t="shared" si="84"/>
        <v>10151.60834</v>
      </c>
      <c r="G53" s="50">
        <f t="shared" si="87"/>
        <v>9364.280206</v>
      </c>
      <c r="H53" s="50">
        <f t="shared" si="82"/>
        <v>5150.544933</v>
      </c>
      <c r="I53" s="50">
        <f t="shared" si="85"/>
        <v>5529.798387</v>
      </c>
      <c r="J53" s="50">
        <f t="shared" si="88"/>
        <v>5604.161538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" t="s">
        <v>3</v>
      </c>
      <c r="B1" s="19"/>
      <c r="C1" s="19"/>
      <c r="D1" s="19"/>
      <c r="E1" s="19"/>
    </row>
    <row r="2">
      <c r="A2" s="19"/>
      <c r="B2" s="71">
        <v>2021.0</v>
      </c>
      <c r="C2" s="71">
        <v>2022.0</v>
      </c>
      <c r="D2" s="71">
        <v>2023.0</v>
      </c>
      <c r="E2" s="71">
        <v>2024.0</v>
      </c>
    </row>
    <row r="3">
      <c r="A3" s="72" t="s">
        <v>37</v>
      </c>
      <c r="B3" s="73">
        <v>7.5539904E7</v>
      </c>
      <c r="C3" s="73">
        <v>6.171330550000001E7</v>
      </c>
      <c r="D3" s="73">
        <v>5.75353625E7</v>
      </c>
      <c r="E3" s="73">
        <v>5.54779225E7</v>
      </c>
    </row>
    <row r="4">
      <c r="A4" s="72">
        <v>2021.0</v>
      </c>
      <c r="B4" s="73">
        <v>1.3186955649999999E8</v>
      </c>
      <c r="C4" s="73">
        <v>5.2597105E7</v>
      </c>
      <c r="D4" s="73">
        <v>4.5025838E7</v>
      </c>
      <c r="E4" s="73">
        <v>4.1006845E7</v>
      </c>
    </row>
    <row r="5">
      <c r="A5" s="72">
        <v>2022.0</v>
      </c>
      <c r="B5" s="73">
        <v>0.0</v>
      </c>
      <c r="C5" s="73">
        <v>1.061519525E8</v>
      </c>
      <c r="D5" s="73">
        <v>4.0414088E7</v>
      </c>
      <c r="E5" s="73">
        <v>3.1974173E7</v>
      </c>
    </row>
    <row r="6">
      <c r="A6" s="72">
        <v>2023.0</v>
      </c>
      <c r="B6" s="73">
        <v>0.0</v>
      </c>
      <c r="C6" s="73">
        <v>0.0</v>
      </c>
      <c r="D6" s="73">
        <v>1.2317463399999999E8</v>
      </c>
      <c r="E6" s="73">
        <v>4.4414436E7</v>
      </c>
    </row>
    <row r="7">
      <c r="A7" s="72">
        <v>2024.0</v>
      </c>
      <c r="B7" s="73">
        <v>0.0</v>
      </c>
      <c r="C7" s="73">
        <v>0.0</v>
      </c>
      <c r="D7" s="73">
        <v>0.0</v>
      </c>
      <c r="E7" s="73">
        <v>1.527273275E8</v>
      </c>
    </row>
    <row r="8">
      <c r="A8" s="19"/>
      <c r="B8" s="19"/>
      <c r="C8" s="19"/>
      <c r="D8" s="19"/>
      <c r="E8" s="19"/>
    </row>
    <row r="9">
      <c r="A9" s="70" t="s">
        <v>4</v>
      </c>
      <c r="B9" s="19"/>
      <c r="C9" s="19"/>
      <c r="D9" s="19"/>
      <c r="E9" s="19"/>
    </row>
    <row r="10">
      <c r="A10" s="19"/>
      <c r="B10" s="71">
        <v>2021.0</v>
      </c>
      <c r="C10" s="71">
        <v>2022.0</v>
      </c>
      <c r="D10" s="71">
        <v>2023.0</v>
      </c>
      <c r="E10" s="71">
        <v>2024.0</v>
      </c>
    </row>
    <row r="11">
      <c r="A11" s="72" t="s">
        <v>37</v>
      </c>
      <c r="B11" s="73">
        <v>3.74877415E7</v>
      </c>
      <c r="C11" s="73">
        <v>3.0335338E7</v>
      </c>
      <c r="D11" s="73">
        <v>2.74854745E7</v>
      </c>
      <c r="E11" s="73">
        <v>2.6831497E7</v>
      </c>
    </row>
    <row r="12">
      <c r="A12" s="72">
        <v>2021.0</v>
      </c>
      <c r="B12" s="73">
        <v>6.6061534E7</v>
      </c>
      <c r="C12" s="73">
        <v>2.5603149E7</v>
      </c>
      <c r="D12" s="73">
        <v>2.12661185E7</v>
      </c>
      <c r="E12" s="73">
        <v>1.9554051E7</v>
      </c>
    </row>
    <row r="13">
      <c r="A13" s="72">
        <v>2022.0</v>
      </c>
      <c r="B13" s="73">
        <v>0.0</v>
      </c>
      <c r="C13" s="73">
        <v>5.19678335E7</v>
      </c>
      <c r="D13" s="73">
        <v>1.9015788E7</v>
      </c>
      <c r="E13" s="73">
        <v>1.52587985E7</v>
      </c>
    </row>
    <row r="14">
      <c r="A14" s="72">
        <v>2023.0</v>
      </c>
      <c r="B14" s="73">
        <v>0.0</v>
      </c>
      <c r="C14" s="73">
        <v>0.0</v>
      </c>
      <c r="D14" s="73">
        <v>5.9071749E7</v>
      </c>
      <c r="E14" s="73">
        <v>2.09702955E7</v>
      </c>
    </row>
    <row r="15">
      <c r="A15" s="72">
        <v>2024.0</v>
      </c>
      <c r="B15" s="73">
        <v>0.0</v>
      </c>
      <c r="C15" s="73">
        <v>0.0</v>
      </c>
      <c r="D15" s="73">
        <v>0.0</v>
      </c>
      <c r="E15" s="73">
        <v>7.3401526E7</v>
      </c>
    </row>
    <row r="16">
      <c r="A16" s="19"/>
      <c r="B16" s="19"/>
      <c r="C16" s="19"/>
      <c r="D16" s="19"/>
      <c r="E16" s="19"/>
    </row>
    <row r="17">
      <c r="A17" s="70" t="s">
        <v>1</v>
      </c>
      <c r="B17" s="19"/>
      <c r="C17" s="19"/>
      <c r="D17" s="19"/>
      <c r="E17" s="19"/>
    </row>
    <row r="18">
      <c r="A18" s="19"/>
      <c r="B18" s="71">
        <v>2021.0</v>
      </c>
      <c r="C18" s="71">
        <v>2022.0</v>
      </c>
      <c r="D18" s="71">
        <v>2023.0</v>
      </c>
      <c r="E18" s="71">
        <v>2024.0</v>
      </c>
    </row>
    <row r="19">
      <c r="A19" s="72" t="s">
        <v>37</v>
      </c>
      <c r="B19" s="73">
        <v>5751.0</v>
      </c>
      <c r="C19" s="73">
        <v>4636.0</v>
      </c>
      <c r="D19" s="73">
        <v>4233.0</v>
      </c>
      <c r="E19" s="73">
        <v>3921.0</v>
      </c>
    </row>
    <row r="20">
      <c r="A20" s="72">
        <v>2021.0</v>
      </c>
      <c r="B20" s="73">
        <v>14915.0</v>
      </c>
      <c r="C20" s="73">
        <v>4107.0</v>
      </c>
      <c r="D20" s="73">
        <v>3491.0</v>
      </c>
      <c r="E20" s="73">
        <v>3075.0</v>
      </c>
    </row>
    <row r="21">
      <c r="A21" s="72">
        <v>2022.0</v>
      </c>
      <c r="B21" s="74"/>
      <c r="C21" s="73">
        <v>12720.0</v>
      </c>
      <c r="D21" s="73">
        <v>3389.0</v>
      </c>
      <c r="E21" s="73">
        <v>2686.0</v>
      </c>
    </row>
    <row r="22">
      <c r="A22" s="72">
        <v>2023.0</v>
      </c>
      <c r="B22" s="74"/>
      <c r="C22" s="74"/>
      <c r="D22" s="73">
        <v>15166.0</v>
      </c>
      <c r="E22" s="73">
        <v>3799.0</v>
      </c>
    </row>
    <row r="23">
      <c r="A23" s="72">
        <v>2024.0</v>
      </c>
      <c r="B23" s="74"/>
      <c r="C23" s="74"/>
      <c r="D23" s="74"/>
      <c r="E23" s="73">
        <v>18316.0</v>
      </c>
    </row>
    <row r="24">
      <c r="A24" s="19"/>
      <c r="B24" s="19"/>
      <c r="C24" s="19"/>
      <c r="D24" s="19"/>
      <c r="E24" s="19"/>
    </row>
    <row r="25">
      <c r="A25" s="70" t="s">
        <v>2</v>
      </c>
      <c r="B25" s="19"/>
      <c r="C25" s="19"/>
      <c r="D25" s="19"/>
      <c r="E25" s="19"/>
    </row>
    <row r="26">
      <c r="A26" s="19"/>
      <c r="B26" s="71">
        <v>2021.0</v>
      </c>
      <c r="C26" s="71">
        <v>2022.0</v>
      </c>
      <c r="D26" s="71">
        <v>2023.0</v>
      </c>
      <c r="E26" s="71">
        <v>2024.0</v>
      </c>
    </row>
    <row r="27">
      <c r="A27" s="72" t="s">
        <v>37</v>
      </c>
      <c r="B27" s="73">
        <v>13739.0</v>
      </c>
      <c r="C27" s="73">
        <v>11475.0</v>
      </c>
      <c r="D27" s="73">
        <v>11331.0</v>
      </c>
      <c r="E27" s="73">
        <v>10581.0</v>
      </c>
    </row>
    <row r="28">
      <c r="A28" s="72">
        <v>2021.0</v>
      </c>
      <c r="B28" s="73">
        <v>22911.0</v>
      </c>
      <c r="C28" s="73">
        <v>10035.0</v>
      </c>
      <c r="D28" s="73">
        <v>9346.0</v>
      </c>
      <c r="E28" s="73">
        <v>8197.0</v>
      </c>
    </row>
    <row r="29">
      <c r="A29" s="72">
        <v>2022.0</v>
      </c>
      <c r="B29" s="74"/>
      <c r="C29" s="73">
        <v>18640.0</v>
      </c>
      <c r="D29" s="73">
        <v>7992.0</v>
      </c>
      <c r="E29" s="73">
        <v>6336.0</v>
      </c>
    </row>
    <row r="30">
      <c r="A30" s="72">
        <v>2023.0</v>
      </c>
      <c r="B30" s="74"/>
      <c r="C30" s="74"/>
      <c r="D30" s="73">
        <v>22735.0</v>
      </c>
      <c r="E30" s="73">
        <v>9002.0</v>
      </c>
    </row>
    <row r="31">
      <c r="A31" s="72">
        <v>2024.0</v>
      </c>
      <c r="B31" s="74"/>
      <c r="C31" s="74"/>
      <c r="D31" s="74"/>
      <c r="E31" s="73">
        <v>27144.0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1.25"/>
    <col customWidth="1" min="11" max="11" width="17.13"/>
  </cols>
  <sheetData>
    <row r="1">
      <c r="A1" s="75" t="s">
        <v>38</v>
      </c>
      <c r="K1" s="76"/>
      <c r="L1" s="76"/>
    </row>
    <row r="2">
      <c r="A2" s="77" t="s">
        <v>39</v>
      </c>
      <c r="L2" s="78"/>
    </row>
    <row r="3">
      <c r="A3" s="77" t="s">
        <v>40</v>
      </c>
    </row>
    <row r="4">
      <c r="A4" s="77" t="s">
        <v>41</v>
      </c>
    </row>
    <row r="5">
      <c r="A5" s="75" t="s">
        <v>42</v>
      </c>
    </row>
    <row r="6">
      <c r="A6" s="77" t="s">
        <v>43</v>
      </c>
    </row>
    <row r="7">
      <c r="A7" s="77" t="s">
        <v>44</v>
      </c>
    </row>
    <row r="8">
      <c r="A8" s="77" t="s">
        <v>45</v>
      </c>
      <c r="B8" s="77" t="s">
        <v>46</v>
      </c>
    </row>
    <row r="9">
      <c r="A9" s="77" t="s">
        <v>47</v>
      </c>
      <c r="B9" s="77" t="s">
        <v>48</v>
      </c>
    </row>
    <row r="10">
      <c r="A10" s="77" t="s">
        <v>49</v>
      </c>
      <c r="B10" s="77" t="s">
        <v>50</v>
      </c>
    </row>
    <row r="11">
      <c r="A11" s="77" t="s">
        <v>51</v>
      </c>
      <c r="B11" s="77" t="s">
        <v>52</v>
      </c>
    </row>
    <row r="12">
      <c r="A12" s="77" t="s">
        <v>53</v>
      </c>
    </row>
    <row r="13">
      <c r="A13" s="77" t="s">
        <v>54</v>
      </c>
    </row>
    <row r="14">
      <c r="A14" s="75" t="s">
        <v>55</v>
      </c>
    </row>
    <row r="15">
      <c r="A15" s="77" t="s">
        <v>56</v>
      </c>
    </row>
    <row r="16">
      <c r="A16" s="77" t="s">
        <v>57</v>
      </c>
    </row>
    <row r="17">
      <c r="A17" s="77" t="s">
        <v>58</v>
      </c>
    </row>
    <row r="18">
      <c r="A18" s="77" t="s">
        <v>59</v>
      </c>
    </row>
    <row r="19">
      <c r="A19" s="75" t="s">
        <v>60</v>
      </c>
    </row>
    <row r="20">
      <c r="A20" s="77" t="s">
        <v>61</v>
      </c>
    </row>
    <row r="21">
      <c r="A21" s="77" t="s">
        <v>62</v>
      </c>
    </row>
    <row r="22">
      <c r="A22" s="77" t="s">
        <v>63</v>
      </c>
    </row>
    <row r="23">
      <c r="A23" s="77" t="s">
        <v>64</v>
      </c>
    </row>
    <row r="24">
      <c r="A24" s="77" t="s">
        <v>65</v>
      </c>
    </row>
    <row r="25">
      <c r="A25" s="77" t="s">
        <v>66</v>
      </c>
    </row>
    <row r="26">
      <c r="A26" s="75" t="s">
        <v>67</v>
      </c>
    </row>
    <row r="27">
      <c r="A27" s="77" t="s">
        <v>68</v>
      </c>
    </row>
    <row r="28">
      <c r="A28" s="77" t="s">
        <v>69</v>
      </c>
    </row>
    <row r="29">
      <c r="A29" s="77" t="s">
        <v>70</v>
      </c>
    </row>
    <row r="30">
      <c r="A30" s="77" t="s">
        <v>71</v>
      </c>
    </row>
    <row r="31">
      <c r="A31" s="77" t="s">
        <v>72</v>
      </c>
    </row>
    <row r="32">
      <c r="A32" s="77" t="s">
        <v>73</v>
      </c>
    </row>
    <row r="33">
      <c r="A33" s="75" t="s">
        <v>74</v>
      </c>
    </row>
    <row r="34">
      <c r="A34" s="77" t="s">
        <v>75</v>
      </c>
    </row>
    <row r="35">
      <c r="A35" s="77" t="s">
        <v>76</v>
      </c>
    </row>
    <row r="36">
      <c r="A36" s="77" t="s">
        <v>77</v>
      </c>
    </row>
    <row r="37">
      <c r="A37" s="77" t="s">
        <v>78</v>
      </c>
    </row>
    <row r="38">
      <c r="A38" s="77" t="s">
        <v>79</v>
      </c>
    </row>
    <row r="39">
      <c r="A39" s="77" t="s">
        <v>80</v>
      </c>
    </row>
  </sheetData>
  <drawing r:id="rId1"/>
</worksheet>
</file>