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3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p" sheetId="1" r:id="rId5"/>
    <sheet state="visible" name="Returns" sheetId="2" r:id="rId6"/>
    <sheet state="visible" name="descr" sheetId="3" r:id="rId7"/>
    <sheet state="visible" name="var dev" sheetId="4" r:id="rId8"/>
    <sheet state="visible" name="cvar" sheetId="5" r:id="rId9"/>
    <sheet state="visible" name="z outliers" sheetId="6" r:id="rId10"/>
    <sheet state="visible" name="cov" sheetId="7" r:id="rId11"/>
    <sheet state="visible" name="sharpe" sheetId="8" r:id="rId12"/>
  </sheets>
  <definedNames/>
  <calcPr/>
</workbook>
</file>

<file path=xl/sharedStrings.xml><?xml version="1.0" encoding="utf-8"?>
<sst xmlns="http://schemas.openxmlformats.org/spreadsheetml/2006/main" count="111" uniqueCount="55">
  <si>
    <t>Date</t>
  </si>
  <si>
    <t>Netflix, Inc. (NFLX)</t>
  </si>
  <si>
    <t>The Walt Disney Company (DIS)</t>
  </si>
  <si>
    <t>Adj Close   Adjusted close price adjusted for splits and dividend and/or capital gain distributions.</t>
  </si>
  <si>
    <t>Daily returns based on adj prices to the left</t>
  </si>
  <si>
    <t>This sheet contains the raw dataset used for the analysis.</t>
  </si>
  <si>
    <t>Weekly closing prices for Netflix (NFLX) and The Walt Disney Company (DIS) were collected from Yahoo Finance.</t>
  </si>
  <si>
    <t>The data was prepared and organised for further statistical analysis.</t>
  </si>
  <si>
    <r>
      <rPr>
        <rFont val="Arial"/>
        <sz val="9.0"/>
      </rPr>
      <t xml:space="preserve">Weekly return for </t>
    </r>
    <r>
      <rPr>
        <rFont val="Arial"/>
        <color rgb="FF1155CC"/>
        <sz val="9.0"/>
        <u/>
      </rPr>
      <t>Netflix, Inc. (NFLX)</t>
    </r>
  </si>
  <si>
    <r>
      <rPr>
        <rFont val="Arial"/>
        <color rgb="FF000000"/>
        <sz val="9.0"/>
      </rPr>
      <t xml:space="preserve">Weekly return for </t>
    </r>
    <r>
      <rPr>
        <rFont val="Arial"/>
        <color rgb="FF1155CC"/>
        <sz val="9.0"/>
        <u/>
      </rPr>
      <t>The Walt Disney Company (DIS)</t>
    </r>
  </si>
  <si>
    <t>In this sheet weekly arithmetic returns were calculated for both stocks.</t>
  </si>
  <si>
    <t>Returns were computed using the formula (Price_t / Price_{t−1}) − 1</t>
  </si>
  <si>
    <t>This transformation converts price data into percentage changes and allows comparison of performance over time.</t>
  </si>
  <si>
    <t>Max</t>
  </si>
  <si>
    <t>Min</t>
  </si>
  <si>
    <t>range:</t>
  </si>
  <si>
    <t>Q3</t>
  </si>
  <si>
    <t>Q1</t>
  </si>
  <si>
    <t xml:space="preserve">IQR, Interquartile range= q3-q1 </t>
  </si>
  <si>
    <t>Mean</t>
  </si>
  <si>
    <t>Mean Absolute Deviation</t>
  </si>
  <si>
    <t>Sample Variance</t>
  </si>
  <si>
    <t>Sample Standard Deviation</t>
  </si>
  <si>
    <t>This section presents descriptive statistics for the returns.</t>
  </si>
  <si>
    <t>Measures such as mean, median, minimum, and maximum returns provide an overview of the distribution of returns and help identify differences in performance between the two assets.</t>
  </si>
  <si>
    <t>Returns are better for The Walt Disney Company (DIS)</t>
  </si>
  <si>
    <t>Dipersion is greater for the Netflix, Inc. (NFLX)</t>
  </si>
  <si>
    <t>Variance and standard deviation were calculated to measure the volatility of returns.</t>
  </si>
  <si>
    <t>Standard deviation is commonly used as a measure of investment risk.</t>
  </si>
  <si>
    <t>Higher values indicate greater fluctuations in returns and therefore higher uncertainty.</t>
  </si>
  <si>
    <t>CV</t>
  </si>
  <si>
    <t>The coefficient of variation (CV) compares the level of risk relative to expected return.</t>
  </si>
  <si>
    <t>It is calculated as the ratio of standard deviation to mean return.</t>
  </si>
  <si>
    <t>A lower CV indicates a more favourable risk-return trade-off.</t>
  </si>
  <si>
    <t>Z min</t>
  </si>
  <si>
    <t>Z max</t>
  </si>
  <si>
    <t>Z-scores were used to identify potential outliers in the return series.</t>
  </si>
  <si>
    <t>Observations with extreme Z-scores may represent unusual market movements or abnormal returns that could influence the statistical analysis.</t>
  </si>
  <si>
    <r>
      <rPr>
        <rFont val="Arial"/>
        <b/>
        <color rgb="FF1155CC"/>
        <sz val="9.0"/>
        <u/>
      </rPr>
      <t>Netflix, Inc. (NFLX)</t>
    </r>
    <r>
      <rPr>
        <rFont val="Arial"/>
        <b/>
        <sz val="9.0"/>
      </rPr>
      <t xml:space="preserve"> returns</t>
    </r>
  </si>
  <si>
    <r>
      <rPr>
        <rFont val="Arial"/>
        <b/>
        <color rgb="FF1155CC"/>
        <sz val="9.0"/>
        <u/>
      </rPr>
      <t>The Walt Disney Company (DIS)</t>
    </r>
    <r>
      <rPr>
        <rFont val="Arial"/>
        <b/>
        <color rgb="FF000000"/>
        <sz val="9.0"/>
      </rPr>
      <t xml:space="preserve"> returns</t>
    </r>
  </si>
  <si>
    <r>
      <rPr>
        <rFont val="Arial"/>
        <b/>
        <sz val="9.0"/>
      </rPr>
      <t xml:space="preserve">dev </t>
    </r>
    <r>
      <rPr>
        <rFont val="Arial"/>
        <b/>
        <color rgb="FF1155CC"/>
        <sz val="9.0"/>
        <u/>
      </rPr>
      <t>Netflix, Inc. (NFLX)</t>
    </r>
  </si>
  <si>
    <r>
      <rPr>
        <rFont val="Arial"/>
        <b/>
        <sz val="9.0"/>
      </rPr>
      <t xml:space="preserve">dev </t>
    </r>
    <r>
      <rPr>
        <rFont val="Arial"/>
        <b/>
        <color rgb="FF1155CC"/>
        <sz val="9.0"/>
        <u/>
      </rPr>
      <t>The Walt Disney Company (DIS)</t>
    </r>
  </si>
  <si>
    <t xml:space="preserve">Product Netflix, Inc. (NFLX) </t>
  </si>
  <si>
    <t>Product The Walt Disney Company (DIS)</t>
  </si>
  <si>
    <t>Cov</t>
  </si>
  <si>
    <t>Correlation</t>
  </si>
  <si>
    <t>manual</t>
  </si>
  <si>
    <t>stdve</t>
  </si>
  <si>
    <t>Covariance and correlation were analysed to examine the relationship between the returns of Netflix and Disney.</t>
  </si>
  <si>
    <t>Positive covariance indicates that the stocks tend to move in the same direction, while lower correlation suggests diversification benefits.</t>
  </si>
  <si>
    <t>Sharpe ratio</t>
  </si>
  <si>
    <t>T bill</t>
  </si>
  <si>
    <t>The Sharpe ratio was calculated to evaluate risk-adjusted performance.</t>
  </si>
  <si>
    <t>This measure compares excess return above the risk-free rate with the volatility of the asset.</t>
  </si>
  <si>
    <t>A higher Sharpe ratio indicates better compensation for risk.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</si>
</sst>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mmm d, yyyy"/>
    <numFmt numFmtId="165" formatCode="mmmm d, yyyy"/>
    <numFmt numFmtId="166" formatCode="#,##0.0000"/>
    <numFmt numFmtId="167" formatCode="0.000"/>
    <numFmt numFmtId="168" formatCode="0.00000"/>
    <numFmt numFmtId="169" formatCode="#,##0.00000"/>
    <numFmt numFmtId="170" formatCode="#,##0.000"/>
  </numFmts>
  <fonts count="22">
    <font>
      <sz val="10.0"/>
      <color rgb="FF000000"/>
      <name val="Arial"/>
      <scheme val="minor"/>
    </font>
    <font>
      <sz val="9.0"/>
      <color rgb="FF232A31"/>
      <name val="&quot;GT America&quot;"/>
    </font>
    <font>
      <u/>
      <sz val="9.0"/>
      <color rgb="FF0000FF"/>
      <name val="Arial"/>
    </font>
    <font>
      <b/>
      <sz val="10.0"/>
      <color theme="1"/>
      <name val="Arial"/>
    </font>
    <font>
      <u/>
      <sz val="9.0"/>
      <color rgb="FF0000FF"/>
      <name val="Arial"/>
    </font>
    <font>
      <color theme="1"/>
      <name val="Arial"/>
    </font>
    <font>
      <sz val="11.0"/>
      <color rgb="FF232A31"/>
      <name val="&quot;GT America&quot;"/>
    </font>
    <font>
      <sz val="11.0"/>
      <color theme="1"/>
      <name val="Arial"/>
    </font>
    <font>
      <color theme="1"/>
      <name val="Arial"/>
      <scheme val="minor"/>
    </font>
    <font>
      <sz val="9.0"/>
      <color theme="1"/>
      <name val="Arial"/>
    </font>
    <font>
      <u/>
      <sz val="9.0"/>
      <color rgb="FF0000FF"/>
      <name val="Arial"/>
    </font>
    <font>
      <sz val="11.0"/>
      <color theme="1"/>
      <name val="Arial"/>
      <scheme val="minor"/>
    </font>
    <font>
      <u/>
      <sz val="11.0"/>
      <color rgb="FF0000FF"/>
      <name val="Arial"/>
    </font>
    <font>
      <b/>
      <sz val="11.0"/>
      <color theme="1"/>
      <name val="Arial"/>
    </font>
    <font>
      <b/>
      <sz val="9.0"/>
      <color theme="1"/>
      <name val="Arial"/>
    </font>
    <font>
      <u/>
      <sz val="9.0"/>
      <color rgb="FF0000FF"/>
      <name val="Arial"/>
    </font>
    <font>
      <color theme="1"/>
      <name val="Aptos Narrow"/>
    </font>
    <font>
      <b/>
      <color theme="1"/>
      <name val="Arial"/>
    </font>
    <font>
      <b/>
      <color rgb="FFFF0000"/>
      <name val="Arial"/>
    </font>
    <font>
      <b/>
      <color rgb="FF000000"/>
      <name val="Arial"/>
    </font>
    <font>
      <b/>
      <sz val="9.0"/>
      <color theme="1"/>
      <name val="Arial"/>
      <scheme val="minor"/>
    </font>
    <font>
      <b/>
      <u/>
      <sz val="9.0"/>
      <color rgb="FF0000FF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00FFFF"/>
        <bgColor rgb="FF00FFFF"/>
      </patternFill>
    </fill>
    <fill>
      <patternFill patternType="solid">
        <fgColor rgb="FFE06666"/>
        <bgColor rgb="FFE06666"/>
      </patternFill>
    </fill>
    <fill>
      <patternFill patternType="solid">
        <fgColor rgb="FFF2F5F7"/>
        <bgColor rgb="FFF2F5F7"/>
      </patternFill>
    </fill>
    <fill>
      <patternFill patternType="solid">
        <fgColor theme="0"/>
        <bgColor theme="0"/>
      </patternFill>
    </fill>
    <fill>
      <patternFill patternType="solid">
        <fgColor rgb="FFDDE0E4"/>
        <bgColor rgb="FFDDE0E4"/>
      </patternFill>
    </fill>
    <fill>
      <patternFill patternType="solid">
        <fgColor rgb="FFEFEFEF"/>
        <bgColor rgb="FFEFEFEF"/>
      </patternFill>
    </fill>
    <fill>
      <patternFill patternType="solid">
        <fgColor rgb="FFB7B7B7"/>
        <bgColor rgb="FFB7B7B7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 shrinkToFit="0" wrapText="0"/>
    </xf>
    <xf borderId="0" fillId="2" fontId="2" numFmtId="0" xfId="0" applyAlignment="1" applyFont="1">
      <alignment horizontal="right" readingOrder="0" shrinkToFit="0" wrapText="1"/>
    </xf>
    <xf borderId="0" fillId="3" fontId="3" numFmtId="4" xfId="0" applyAlignment="1" applyFill="1" applyFont="1" applyNumberFormat="1">
      <alignment horizontal="center" shrinkToFit="0" vertical="top" wrapText="1"/>
    </xf>
    <xf borderId="0" fillId="4" fontId="4" numFmtId="0" xfId="0" applyAlignment="1" applyFill="1" applyFont="1">
      <alignment horizontal="right" readingOrder="0" shrinkToFit="0" wrapText="1"/>
    </xf>
    <xf borderId="0" fillId="5" fontId="5" numFmtId="10" xfId="0" applyAlignment="1" applyFill="1" applyFont="1" applyNumberFormat="1">
      <alignment horizontal="left" readingOrder="0" shrinkToFit="0" wrapText="1"/>
    </xf>
    <xf borderId="0" fillId="6" fontId="6" numFmtId="164" xfId="0" applyAlignment="1" applyFill="1" applyFont="1" applyNumberFormat="1">
      <alignment horizontal="left" readingOrder="0" shrinkToFit="0" wrapText="0"/>
    </xf>
    <xf borderId="0" fillId="6" fontId="6" numFmtId="0" xfId="0" applyAlignment="1" applyFont="1">
      <alignment horizontal="right" readingOrder="0" shrinkToFit="0" wrapText="0"/>
    </xf>
    <xf borderId="0" fillId="4" fontId="7" numFmtId="10" xfId="0" applyAlignment="1" applyFont="1" applyNumberFormat="1">
      <alignment horizontal="right" readingOrder="0" shrinkToFit="0" wrapText="1"/>
    </xf>
    <xf borderId="0" fillId="2" fontId="7" numFmtId="10" xfId="0" applyAlignment="1" applyFont="1" applyNumberFormat="1">
      <alignment horizontal="right" readingOrder="0" shrinkToFit="0" wrapText="1"/>
    </xf>
    <xf borderId="0" fillId="0" fontId="8" numFmtId="0" xfId="0" applyAlignment="1" applyFont="1">
      <alignment readingOrder="0" shrinkToFit="0" wrapText="0"/>
    </xf>
    <xf borderId="0" fillId="2" fontId="6" numFmtId="164" xfId="0" applyAlignment="1" applyFont="1" applyNumberFormat="1">
      <alignment horizontal="left" readingOrder="0" shrinkToFit="0" wrapText="0"/>
    </xf>
    <xf borderId="0" fillId="2" fontId="6" numFmtId="0" xfId="0" applyAlignment="1" applyFont="1">
      <alignment horizontal="right" readingOrder="0" shrinkToFit="0" wrapText="0"/>
    </xf>
    <xf borderId="0" fillId="0" fontId="8" numFmtId="0" xfId="0" applyAlignment="1" applyFont="1">
      <alignment readingOrder="0"/>
    </xf>
    <xf borderId="0" fillId="7" fontId="6" numFmtId="0" xfId="0" applyAlignment="1" applyFill="1" applyFont="1">
      <alignment horizontal="right" readingOrder="0" shrinkToFit="0" wrapText="0"/>
    </xf>
    <xf borderId="0" fillId="6" fontId="6" numFmtId="165" xfId="0" applyAlignment="1" applyFont="1" applyNumberFormat="1">
      <alignment horizontal="left" readingOrder="0" shrinkToFit="0" wrapText="0"/>
    </xf>
    <xf borderId="0" fillId="2" fontId="6" numFmtId="165" xfId="0" applyAlignment="1" applyFont="1" applyNumberFormat="1">
      <alignment horizontal="left" readingOrder="0" shrinkToFit="0" wrapText="0"/>
    </xf>
    <xf borderId="0" fillId="8" fontId="6" numFmtId="164" xfId="0" applyAlignment="1" applyFill="1" applyFont="1" applyNumberFormat="1">
      <alignment horizontal="left" readingOrder="0" shrinkToFit="0" wrapText="0"/>
    </xf>
    <xf borderId="0" fillId="8" fontId="6" numFmtId="0" xfId="0" applyAlignment="1" applyFont="1">
      <alignment horizontal="right" readingOrder="0" shrinkToFit="0" wrapText="0"/>
    </xf>
    <xf borderId="0" fillId="2" fontId="9" numFmtId="0" xfId="0" applyAlignment="1" applyFont="1">
      <alignment horizontal="right" readingOrder="0" shrinkToFit="0" wrapText="1"/>
    </xf>
    <xf borderId="0" fillId="2" fontId="7" numFmtId="0" xfId="0" applyAlignment="1" applyFont="1">
      <alignment horizontal="right" readingOrder="0" shrinkToFit="0" wrapText="1"/>
    </xf>
    <xf borderId="0" fillId="2" fontId="6" numFmtId="164" xfId="0" applyAlignment="1" applyFont="1" applyNumberFormat="1">
      <alignment horizontal="left" readingOrder="0" shrinkToFit="0" wrapText="0"/>
    </xf>
    <xf borderId="0" fillId="2" fontId="6" numFmtId="0" xfId="0" applyAlignment="1" applyFont="1">
      <alignment horizontal="right" readingOrder="0" shrinkToFit="0" wrapText="0"/>
    </xf>
    <xf borderId="0" fillId="2" fontId="8" numFmtId="0" xfId="0" applyFont="1"/>
    <xf borderId="0" fillId="2" fontId="3" numFmtId="4" xfId="0" applyAlignment="1" applyFont="1" applyNumberFormat="1">
      <alignment horizontal="center" shrinkToFit="0" vertical="top" wrapText="1"/>
    </xf>
    <xf borderId="0" fillId="3" fontId="10" numFmtId="0" xfId="0" applyAlignment="1" applyFont="1">
      <alignment horizontal="right" readingOrder="0" shrinkToFit="0" wrapText="1"/>
    </xf>
    <xf borderId="0" fillId="3" fontId="9" numFmtId="0" xfId="0" applyAlignment="1" applyFont="1">
      <alignment horizontal="right" readingOrder="0" shrinkToFit="0" wrapText="1"/>
    </xf>
    <xf borderId="0" fillId="3" fontId="7" numFmtId="10" xfId="0" applyAlignment="1" applyFont="1" applyNumberFormat="1">
      <alignment horizontal="right" readingOrder="0" shrinkToFit="0" wrapText="1"/>
    </xf>
    <xf borderId="0" fillId="2" fontId="7" numFmtId="0" xfId="0" applyAlignment="1" applyFont="1">
      <alignment horizontal="right" readingOrder="0" shrinkToFit="0" wrapText="1"/>
    </xf>
    <xf borderId="0" fillId="0" fontId="11" numFmtId="0" xfId="0" applyAlignment="1" applyFont="1">
      <alignment readingOrder="0"/>
    </xf>
    <xf borderId="0" fillId="0" fontId="11" numFmtId="0" xfId="0" applyFont="1"/>
    <xf borderId="0" fillId="4" fontId="12" numFmtId="0" xfId="0" applyAlignment="1" applyFont="1">
      <alignment horizontal="right" readingOrder="0" shrinkToFit="0" wrapText="1"/>
    </xf>
    <xf borderId="0" fillId="0" fontId="11" numFmtId="164" xfId="0" applyAlignment="1" applyFont="1" applyNumberFormat="1">
      <alignment readingOrder="0"/>
    </xf>
    <xf borderId="0" fillId="4" fontId="7" numFmtId="10" xfId="0" applyAlignment="1" applyFont="1" applyNumberFormat="1">
      <alignment horizontal="right" readingOrder="0" shrinkToFit="0" wrapText="1"/>
    </xf>
    <xf borderId="0" fillId="2" fontId="7" numFmtId="10" xfId="0" applyAlignment="1" applyFont="1" applyNumberFormat="1">
      <alignment horizontal="right" readingOrder="0" shrinkToFit="0" wrapText="1"/>
    </xf>
    <xf borderId="0" fillId="0" fontId="5" numFmtId="10" xfId="0" applyAlignment="1" applyFont="1" applyNumberFormat="1">
      <alignment horizontal="right" vertical="bottom"/>
    </xf>
    <xf borderId="0" fillId="0" fontId="7" numFmtId="0" xfId="0" applyFont="1"/>
    <xf borderId="0" fillId="2" fontId="9" numFmtId="0" xfId="0" applyAlignment="1" applyFont="1">
      <alignment horizontal="right" vertical="bottom"/>
    </xf>
    <xf borderId="0" fillId="2" fontId="9" numFmtId="0" xfId="0" applyAlignment="1" applyFont="1">
      <alignment vertical="bottom"/>
    </xf>
    <xf borderId="0" fillId="2" fontId="9" numFmtId="2" xfId="0" applyAlignment="1" applyFont="1" applyNumberFormat="1">
      <alignment vertical="bottom"/>
    </xf>
    <xf borderId="0" fillId="0" fontId="13" numFmtId="0" xfId="0" applyAlignment="1" applyFont="1">
      <alignment vertical="bottom"/>
    </xf>
    <xf borderId="0" fillId="0" fontId="14" numFmtId="10" xfId="0" applyAlignment="1" applyFont="1" applyNumberFormat="1">
      <alignment horizontal="center" vertical="bottom"/>
    </xf>
    <xf borderId="0" fillId="0" fontId="11" numFmtId="165" xfId="0" applyAlignment="1" applyFont="1" applyNumberFormat="1">
      <alignment readingOrder="0"/>
    </xf>
    <xf borderId="0" fillId="2" fontId="15" numFmtId="0" xfId="0" applyAlignment="1" applyFont="1">
      <alignment horizontal="right" readingOrder="0" shrinkToFit="0" wrapText="1"/>
    </xf>
    <xf borderId="0" fillId="0" fontId="16" numFmtId="0" xfId="0" applyAlignment="1" applyFont="1">
      <alignment vertical="bottom"/>
    </xf>
    <xf borderId="0" fillId="0" fontId="17" numFmtId="0" xfId="0" applyAlignment="1" applyFont="1">
      <alignment vertical="bottom"/>
    </xf>
    <xf borderId="1" fillId="3" fontId="17" numFmtId="166" xfId="0" applyAlignment="1" applyBorder="1" applyFont="1" applyNumberFormat="1">
      <alignment horizontal="center" vertical="bottom"/>
    </xf>
    <xf borderId="0" fillId="0" fontId="17" numFmtId="166" xfId="0" applyAlignment="1" applyFont="1" applyNumberFormat="1">
      <alignment horizontal="center" vertical="bottom"/>
    </xf>
    <xf borderId="0" fillId="0" fontId="18" numFmtId="166" xfId="0" applyAlignment="1" applyFont="1" applyNumberFormat="1">
      <alignment horizontal="center" vertical="bottom"/>
    </xf>
    <xf borderId="0" fillId="0" fontId="19" numFmtId="166" xfId="0" applyAlignment="1" applyFont="1" applyNumberFormat="1">
      <alignment horizontal="center" vertical="bottom"/>
    </xf>
    <xf borderId="0" fillId="0" fontId="5" numFmtId="0" xfId="0" applyAlignment="1" applyFont="1">
      <alignment vertical="bottom"/>
    </xf>
    <xf borderId="0" fillId="0" fontId="5" numFmtId="167" xfId="0" applyAlignment="1" applyFont="1" applyNumberFormat="1">
      <alignment horizontal="right" vertical="bottom"/>
    </xf>
    <xf borderId="1" fillId="9" fontId="17" numFmtId="4" xfId="0" applyAlignment="1" applyBorder="1" applyFill="1" applyFont="1" applyNumberFormat="1">
      <alignment horizontal="center" vertical="bottom"/>
    </xf>
    <xf borderId="1" fillId="3" fontId="17" numFmtId="4" xfId="0" applyAlignment="1" applyBorder="1" applyFont="1" applyNumberFormat="1">
      <alignment horizontal="center" vertical="bottom"/>
    </xf>
    <xf borderId="0" fillId="0" fontId="20" numFmtId="0" xfId="0" applyAlignment="1" applyFont="1">
      <alignment readingOrder="0"/>
    </xf>
    <xf borderId="0" fillId="2" fontId="21" numFmtId="0" xfId="0" applyAlignment="1" applyFont="1">
      <alignment horizontal="right" readingOrder="0" shrinkToFit="0" wrapText="1"/>
    </xf>
    <xf borderId="0" fillId="0" fontId="14" numFmtId="0" xfId="0" applyAlignment="1" applyFont="1">
      <alignment horizontal="center" readingOrder="0" shrinkToFit="0" vertical="top" wrapText="1"/>
    </xf>
    <xf borderId="0" fillId="0" fontId="5" numFmtId="4" xfId="0" applyAlignment="1" applyFont="1" applyNumberFormat="1">
      <alignment horizontal="right" vertical="bottom"/>
    </xf>
    <xf borderId="0" fillId="0" fontId="5" numFmtId="168" xfId="0" applyAlignment="1" applyFont="1" applyNumberFormat="1">
      <alignment horizontal="right" readingOrder="0" vertical="bottom"/>
    </xf>
    <xf borderId="1" fillId="9" fontId="17" numFmtId="169" xfId="0" applyAlignment="1" applyBorder="1" applyFont="1" applyNumberFormat="1">
      <alignment horizontal="center" vertical="bottom"/>
    </xf>
    <xf borderId="1" fillId="9" fontId="16" numFmtId="4" xfId="0" applyAlignment="1" applyBorder="1" applyFont="1" applyNumberFormat="1">
      <alignment vertical="bottom"/>
    </xf>
    <xf borderId="1" fillId="9" fontId="17" numFmtId="166" xfId="0" applyAlignment="1" applyBorder="1" applyFont="1" applyNumberFormat="1">
      <alignment horizontal="center" vertical="bottom"/>
    </xf>
    <xf borderId="1" fillId="9" fontId="17" numFmtId="170" xfId="0" applyAlignment="1" applyBorder="1" applyFont="1" applyNumberFormat="1">
      <alignment horizontal="center" vertical="bottom"/>
    </xf>
    <xf borderId="0" fillId="0" fontId="5" numFmtId="2" xfId="0" applyAlignment="1" applyFont="1" applyNumberFormat="1">
      <alignment horizontal="right" vertical="bottom"/>
    </xf>
    <xf borderId="1" fillId="10" fontId="17" numFmtId="2" xfId="0" applyAlignment="1" applyBorder="1" applyFill="1" applyFont="1" applyNumberFormat="1">
      <alignment horizontal="right" vertical="bottom"/>
    </xf>
    <xf borderId="1" fillId="10" fontId="17" numFmtId="168" xfId="0" applyAlignment="1" applyBorder="1" applyFont="1" applyNumberFormat="1">
      <alignment readingOrder="0" vertical="bottom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</dxfs>
  <tableStyles count="16">
    <tableStyle count="3" pivot="0" name="prep-style">
      <tableStyleElement dxfId="1" type="headerRow"/>
      <tableStyleElement dxfId="1" type="firstRowStripe"/>
      <tableStyleElement dxfId="2" type="secondRowStripe"/>
    </tableStyle>
    <tableStyle count="3" pivot="0" name="prep-style 2">
      <tableStyleElement dxfId="1" type="headerRow"/>
      <tableStyleElement dxfId="1" type="firstRowStripe"/>
      <tableStyleElement dxfId="2" type="secondRowStripe"/>
    </tableStyle>
    <tableStyle count="3" pivot="0" name="Returns-style">
      <tableStyleElement dxfId="1" type="headerRow"/>
      <tableStyleElement dxfId="1" type="firstRowStripe"/>
      <tableStyleElement dxfId="2" type="secondRowStripe"/>
    </tableStyle>
    <tableStyle count="3" pivot="0" name="Returns-style 2">
      <tableStyleElement dxfId="1" type="headerRow"/>
      <tableStyleElement dxfId="1" type="firstRowStripe"/>
      <tableStyleElement dxfId="2" type="secondRowStripe"/>
    </tableStyle>
    <tableStyle count="3" pivot="0" name="descr-style">
      <tableStyleElement dxfId="1" type="headerRow"/>
      <tableStyleElement dxfId="1" type="firstRowStripe"/>
      <tableStyleElement dxfId="2" type="secondRowStripe"/>
    </tableStyle>
    <tableStyle count="3" pivot="0" name="descr-style 2">
      <tableStyleElement dxfId="1" type="headerRow"/>
      <tableStyleElement dxfId="1" type="firstRowStripe"/>
      <tableStyleElement dxfId="2" type="secondRowStripe"/>
    </tableStyle>
    <tableStyle count="3" pivot="0" name="var dev-style">
      <tableStyleElement dxfId="1" type="headerRow"/>
      <tableStyleElement dxfId="1" type="firstRowStripe"/>
      <tableStyleElement dxfId="2" type="secondRowStripe"/>
    </tableStyle>
    <tableStyle count="3" pivot="0" name="var dev-style 2">
      <tableStyleElement dxfId="1" type="headerRow"/>
      <tableStyleElement dxfId="1" type="firstRowStripe"/>
      <tableStyleElement dxfId="2" type="secondRowStripe"/>
    </tableStyle>
    <tableStyle count="3" pivot="0" name="cvar-style">
      <tableStyleElement dxfId="1" type="headerRow"/>
      <tableStyleElement dxfId="1" type="firstRowStripe"/>
      <tableStyleElement dxfId="2" type="secondRowStripe"/>
    </tableStyle>
    <tableStyle count="3" pivot="0" name="cvar-style 2">
      <tableStyleElement dxfId="1" type="headerRow"/>
      <tableStyleElement dxfId="1" type="firstRowStripe"/>
      <tableStyleElement dxfId="2" type="secondRowStripe"/>
    </tableStyle>
    <tableStyle count="3" pivot="0" name="z outliers-style">
      <tableStyleElement dxfId="1" type="headerRow"/>
      <tableStyleElement dxfId="1" type="firstRowStripe"/>
      <tableStyleElement dxfId="2" type="secondRowStripe"/>
    </tableStyle>
    <tableStyle count="3" pivot="0" name="z outliers-style 2">
      <tableStyleElement dxfId="1" type="headerRow"/>
      <tableStyleElement dxfId="1" type="firstRowStripe"/>
      <tableStyleElement dxfId="2" type="secondRowStripe"/>
    </tableStyle>
    <tableStyle count="3" pivot="0" name="cov-style">
      <tableStyleElement dxfId="1" type="headerRow"/>
      <tableStyleElement dxfId="1" type="firstRowStripe"/>
      <tableStyleElement dxfId="2" type="secondRowStripe"/>
    </tableStyle>
    <tableStyle count="3" pivot="0" name="cov-style 2">
      <tableStyleElement dxfId="1" type="headerRow"/>
      <tableStyleElement dxfId="1" type="firstRowStripe"/>
      <tableStyleElement dxfId="2" type="secondRowStripe"/>
    </tableStyle>
    <tableStyle count="3" pivot="0" name="sharpe-style">
      <tableStyleElement dxfId="1" type="headerRow"/>
      <tableStyleElement dxfId="1" type="firstRowStripe"/>
      <tableStyleElement dxfId="2" type="secondRowStripe"/>
    </tableStyle>
    <tableStyle count="3" pivot="0" name="sharpe-style 2">
      <tableStyleElement dxfId="1" type="headerRow"/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C1000" displayName="Table_1" name="Table_1" id="1">
  <tableColumns count="3">
    <tableColumn name="Date" id="1"/>
    <tableColumn name="Netflix, Inc. (NFLX)" id="2"/>
    <tableColumn name="The Walt Disney Company (DIS)" id="3"/>
  </tableColumns>
  <tableStyleInfo name="prep-style" showColumnStripes="0" showFirstColumn="1" showLastColumn="1" showRowStripes="1"/>
</table>
</file>

<file path=xl/tables/table2.xml><?xml version="1.0" encoding="utf-8"?>
<table xmlns="http://schemas.openxmlformats.org/spreadsheetml/2006/main" ref="E1:G2" displayName="Table_2" name="Table_2" id="2">
  <tableColumns count="3">
    <tableColumn name="Netflix, Inc. (NFLX)" id="1"/>
    <tableColumn name="The Walt Disney Company (DIS)" id="2"/>
    <tableColumn name="Daily returns based on adj prices to the left" id="3"/>
  </tableColumns>
  <tableStyleInfo name="prep-style 2" showColumnStripes="0" showFirstColumn="1" showLastColumn="1" showRowStripes="1"/>
</table>
</file>

<file path=xl/tables/table3.xml><?xml version="1.0" encoding="utf-8"?>
<table xmlns="http://schemas.openxmlformats.org/spreadsheetml/2006/main" ref="A1:C1000" displayName="Table_3" name="Table_3" id="3">
  <tableColumns count="3">
    <tableColumn name="Date" id="1"/>
    <tableColumn name="Netflix, Inc. (NFLX)" id="2"/>
    <tableColumn name="The Walt Disney Company (DIS)" id="3"/>
  </tableColumns>
  <tableStyleInfo name="Returns-style" showColumnStripes="0" showFirstColumn="1" showLastColumn="1" showRowStripes="1"/>
</table>
</file>

<file path=xl/tables/table4.xml><?xml version="1.0" encoding="utf-8"?>
<table xmlns="http://schemas.openxmlformats.org/spreadsheetml/2006/main" headerRowCount="0" ref="E1:I2" displayName="Table_4" name="Table_4" id="4">
  <tableColumns count="5">
    <tableColumn name="Column1" id="1"/>
    <tableColumn name="Column2" id="2"/>
    <tableColumn name="Column3" id="3"/>
    <tableColumn name="Column4" id="4"/>
    <tableColumn name="Column5" id="5"/>
  </tableColumns>
  <tableStyleInfo name="Returns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5.xml><?xml version="1.0" encoding="utf-8"?>
<table xmlns="http://schemas.openxmlformats.org/spreadsheetml/2006/main" ref="B1:C2" displayName="Table_5" name="Table_5" id="5">
  <tableColumns count="2">
    <tableColumn name="Netflix, Inc. (NFLX)" id="1"/>
    <tableColumn name="The Walt Disney Company (DIS)" id="2"/>
  </tableColumns>
  <tableStyleInfo name="descr-style" showColumnStripes="0" showFirstColumn="1" showLastColumn="1" showRowStripes="1"/>
</table>
</file>

<file path=xl/tables/table6.xml><?xml version="1.0" encoding="utf-8"?>
<table xmlns="http://schemas.openxmlformats.org/spreadsheetml/2006/main" ref="F1:G4" displayName="Table_6" name="Table_6" id="6">
  <tableColumns count="2">
    <tableColumn name="Netflix, Inc. (NFLX)" id="1"/>
    <tableColumn name="The Walt Disney Company (DIS)" id="2"/>
  </tableColumns>
  <tableStyleInfo name="descr-style 2" showColumnStripes="0" showFirstColumn="1" showLastColumn="1" showRowStripes="1"/>
</table>
</file>

<file path=xl/tables/table7.xml><?xml version="1.0" encoding="utf-8"?>
<table xmlns="http://schemas.openxmlformats.org/spreadsheetml/2006/main" headerRowCount="0" ref="B1:D2" displayName="Table_7" name="Table_7" id="7">
  <tableColumns count="3">
    <tableColumn name="Column1" id="1"/>
    <tableColumn name="Column2" id="2"/>
    <tableColumn name="Column3" id="3"/>
  </tableColumns>
  <tableStyleInfo name="var dev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8.xml><?xml version="1.0" encoding="utf-8"?>
<table xmlns="http://schemas.openxmlformats.org/spreadsheetml/2006/main" headerRowCount="0" ref="F1:G1" displayName="Table_8" name="Table_8" id="8">
  <tableColumns count="2">
    <tableColumn name="Column1" id="1"/>
    <tableColumn name="Column2" id="2"/>
  </tableColumns>
  <tableStyleInfo name="var dev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9.xml><?xml version="1.0" encoding="utf-8"?>
<table xmlns="http://schemas.openxmlformats.org/spreadsheetml/2006/main" headerRowCount="0" ref="B1:D2" displayName="Table_9" name="Table_9" id="9">
  <tableColumns count="3">
    <tableColumn name="Column1" id="1"/>
    <tableColumn name="Column2" id="2"/>
    <tableColumn name="Column3" id="3"/>
  </tableColumns>
  <tableStyleInfo name="cvar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0.xml><?xml version="1.0" encoding="utf-8"?>
<table xmlns="http://schemas.openxmlformats.org/spreadsheetml/2006/main" headerRowCount="0" ref="F1:G1" displayName="Table_10" name="Table_10" id="10">
  <tableColumns count="2">
    <tableColumn name="Column1" id="1"/>
    <tableColumn name="Column2" id="2"/>
  </tableColumns>
  <tableStyleInfo name="cvar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1.xml><?xml version="1.0" encoding="utf-8"?>
<table xmlns="http://schemas.openxmlformats.org/spreadsheetml/2006/main" headerRowCount="0" ref="B1:D2" displayName="Table_11" name="Table_11" id="11">
  <tableColumns count="3">
    <tableColumn name="Column1" id="1"/>
    <tableColumn name="Column2" id="2"/>
    <tableColumn name="Column3" id="3"/>
  </tableColumns>
  <tableStyleInfo name="z outlier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2.xml><?xml version="1.0" encoding="utf-8"?>
<table xmlns="http://schemas.openxmlformats.org/spreadsheetml/2006/main" headerRowCount="0" ref="F1:G1" displayName="Table_12" name="Table_12" id="12">
  <tableColumns count="2">
    <tableColumn name="Column1" id="1"/>
    <tableColumn name="Column2" id="2"/>
  </tableColumns>
  <tableStyleInfo name="z outliers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3.xml><?xml version="1.0" encoding="utf-8"?>
<table xmlns="http://schemas.openxmlformats.org/spreadsheetml/2006/main" ref="B1:F2" displayName="Table_13" name="Table_13" id="13">
  <tableColumns count="5">
    <tableColumn name="Netflix, Inc. (NFLX) returns" id="1"/>
    <tableColumn name="The Walt Disney Company (DIS) returns" id="2"/>
    <tableColumn name="dev Netflix, Inc. (NFLX)" id="3"/>
    <tableColumn name="dev The Walt Disney Company (DIS)" id="4"/>
    <tableColumn name="Product Netflix, Inc. (NFLX) " id="5"/>
  </tableColumns>
  <tableStyleInfo name="cov-style" showColumnStripes="0" showFirstColumn="1" showLastColumn="1" showRowStripes="1"/>
</table>
</file>

<file path=xl/tables/table14.xml><?xml version="1.0" encoding="utf-8"?>
<table xmlns="http://schemas.openxmlformats.org/spreadsheetml/2006/main" ref="I1:J6" displayName="Table_14" name="Table_14" id="14">
  <tableColumns count="2">
    <tableColumn name="Netflix, Inc. (NFLX)" id="1"/>
    <tableColumn name="The Walt Disney Company (DIS)" id="2"/>
  </tableColumns>
  <tableStyleInfo name="cov-style 2" showColumnStripes="0" showFirstColumn="1" showLastColumn="1" showRowStripes="1"/>
</table>
</file>

<file path=xl/tables/table15.xml><?xml version="1.0" encoding="utf-8"?>
<table xmlns="http://schemas.openxmlformats.org/spreadsheetml/2006/main" headerRowCount="0" ref="B1:D2" displayName="Table_15" name="Table_15" id="15">
  <tableColumns count="3">
    <tableColumn name="Column1" id="1"/>
    <tableColumn name="Column2" id="2"/>
    <tableColumn name="Column3" id="3"/>
  </tableColumns>
  <tableStyleInfo name="sharpe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6.xml><?xml version="1.0" encoding="utf-8"?>
<table xmlns="http://schemas.openxmlformats.org/spreadsheetml/2006/main" headerRowCount="0" ref="F1:G1" displayName="Table_16" name="Table_16" id="16">
  <tableColumns count="2">
    <tableColumn name="Column1" id="1"/>
    <tableColumn name="Column2" id="2"/>
  </tableColumns>
  <tableStyleInfo name="sharpe-style 2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finance.yahoo.com/quote/NFLX/" TargetMode="External"/><Relationship Id="rId2" Type="http://schemas.openxmlformats.org/officeDocument/2006/relationships/hyperlink" Target="https://finance.yahoo.com/quote/DIS/" TargetMode="External"/><Relationship Id="rId3" Type="http://schemas.openxmlformats.org/officeDocument/2006/relationships/hyperlink" Target="https://finance.yahoo.com/quote/NFLX/" TargetMode="External"/><Relationship Id="rId4" Type="http://schemas.openxmlformats.org/officeDocument/2006/relationships/hyperlink" Target="https://finance.yahoo.com/quote/DIS/" TargetMode="External"/><Relationship Id="rId9" Type="http://schemas.openxmlformats.org/officeDocument/2006/relationships/table" Target="../tables/table2.xml"/><Relationship Id="rId5" Type="http://schemas.openxmlformats.org/officeDocument/2006/relationships/drawing" Target="../drawings/drawing1.xml"/><Relationship Id="rId8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finance.yahoo.com/quote/NFLX/" TargetMode="External"/><Relationship Id="rId2" Type="http://schemas.openxmlformats.org/officeDocument/2006/relationships/hyperlink" Target="https://finance.yahoo.com/quote/DIS/" TargetMode="External"/><Relationship Id="rId3" Type="http://schemas.openxmlformats.org/officeDocument/2006/relationships/hyperlink" Target="https://finance.yahoo.com/quote/NFLX/" TargetMode="External"/><Relationship Id="rId4" Type="http://schemas.openxmlformats.org/officeDocument/2006/relationships/hyperlink" Target="https://finance.yahoo.com/quote/DIS/" TargetMode="External"/><Relationship Id="rId11" Type="http://schemas.openxmlformats.org/officeDocument/2006/relationships/table" Target="../tables/table4.xml"/><Relationship Id="rId10" Type="http://schemas.openxmlformats.org/officeDocument/2006/relationships/table" Target="../tables/table3.xml"/><Relationship Id="rId5" Type="http://schemas.openxmlformats.org/officeDocument/2006/relationships/hyperlink" Target="https://finance.yahoo.com/quote/NFLX/" TargetMode="External"/><Relationship Id="rId6" Type="http://schemas.openxmlformats.org/officeDocument/2006/relationships/hyperlink" Target="https://finance.yahoo.com/quote/DIS/" TargetMode="External"/><Relationship Id="rId7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finance.yahoo.com/quote/NFLX/" TargetMode="External"/><Relationship Id="rId2" Type="http://schemas.openxmlformats.org/officeDocument/2006/relationships/hyperlink" Target="https://finance.yahoo.com/quote/DIS/" TargetMode="External"/><Relationship Id="rId3" Type="http://schemas.openxmlformats.org/officeDocument/2006/relationships/hyperlink" Target="https://finance.yahoo.com/quote/NFLX/" TargetMode="External"/><Relationship Id="rId4" Type="http://schemas.openxmlformats.org/officeDocument/2006/relationships/hyperlink" Target="https://finance.yahoo.com/quote/DIS/" TargetMode="External"/><Relationship Id="rId9" Type="http://schemas.openxmlformats.org/officeDocument/2006/relationships/table" Target="../tables/table6.xml"/><Relationship Id="rId5" Type="http://schemas.openxmlformats.org/officeDocument/2006/relationships/drawing" Target="../drawings/drawing3.xml"/><Relationship Id="rId8" Type="http://schemas.openxmlformats.org/officeDocument/2006/relationships/table" Target="../tables/table5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finance.yahoo.com/quote/NFLX/" TargetMode="External"/><Relationship Id="rId2" Type="http://schemas.openxmlformats.org/officeDocument/2006/relationships/hyperlink" Target="https://finance.yahoo.com/quote/DIS/" TargetMode="External"/><Relationship Id="rId3" Type="http://schemas.openxmlformats.org/officeDocument/2006/relationships/hyperlink" Target="https://finance.yahoo.com/quote/NFLX/" TargetMode="External"/><Relationship Id="rId4" Type="http://schemas.openxmlformats.org/officeDocument/2006/relationships/hyperlink" Target="https://finance.yahoo.com/quote/DIS/" TargetMode="External"/><Relationship Id="rId9" Type="http://schemas.openxmlformats.org/officeDocument/2006/relationships/table" Target="../tables/table8.xml"/><Relationship Id="rId5" Type="http://schemas.openxmlformats.org/officeDocument/2006/relationships/drawing" Target="../drawings/drawing4.xml"/><Relationship Id="rId8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finance.yahoo.com/quote/NFLX/" TargetMode="External"/><Relationship Id="rId2" Type="http://schemas.openxmlformats.org/officeDocument/2006/relationships/hyperlink" Target="https://finance.yahoo.com/quote/DIS/" TargetMode="External"/><Relationship Id="rId3" Type="http://schemas.openxmlformats.org/officeDocument/2006/relationships/hyperlink" Target="https://finance.yahoo.com/quote/NFLX/" TargetMode="External"/><Relationship Id="rId4" Type="http://schemas.openxmlformats.org/officeDocument/2006/relationships/hyperlink" Target="https://finance.yahoo.com/quote/DIS/" TargetMode="External"/><Relationship Id="rId9" Type="http://schemas.openxmlformats.org/officeDocument/2006/relationships/table" Target="../tables/table10.xml"/><Relationship Id="rId5" Type="http://schemas.openxmlformats.org/officeDocument/2006/relationships/drawing" Target="../drawings/drawing5.xml"/><Relationship Id="rId8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finance.yahoo.com/quote/NFLX/" TargetMode="External"/><Relationship Id="rId2" Type="http://schemas.openxmlformats.org/officeDocument/2006/relationships/hyperlink" Target="https://finance.yahoo.com/quote/DIS/" TargetMode="External"/><Relationship Id="rId3" Type="http://schemas.openxmlformats.org/officeDocument/2006/relationships/hyperlink" Target="https://finance.yahoo.com/quote/NFLX/" TargetMode="External"/><Relationship Id="rId4" Type="http://schemas.openxmlformats.org/officeDocument/2006/relationships/hyperlink" Target="https://finance.yahoo.com/quote/DIS/" TargetMode="External"/><Relationship Id="rId9" Type="http://schemas.openxmlformats.org/officeDocument/2006/relationships/table" Target="../tables/table12.xml"/><Relationship Id="rId5" Type="http://schemas.openxmlformats.org/officeDocument/2006/relationships/drawing" Target="../drawings/drawing6.xml"/><Relationship Id="rId8" Type="http://schemas.openxmlformats.org/officeDocument/2006/relationships/table" Target="../tables/table11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finance.yahoo.com/quote/NFLX/" TargetMode="External"/><Relationship Id="rId2" Type="http://schemas.openxmlformats.org/officeDocument/2006/relationships/hyperlink" Target="https://finance.yahoo.com/quote/DIS/" TargetMode="External"/><Relationship Id="rId3" Type="http://schemas.openxmlformats.org/officeDocument/2006/relationships/hyperlink" Target="https://finance.yahoo.com/quote/NFLX/" TargetMode="External"/><Relationship Id="rId4" Type="http://schemas.openxmlformats.org/officeDocument/2006/relationships/hyperlink" Target="https://finance.yahoo.com/quote/DIS/" TargetMode="External"/><Relationship Id="rId11" Type="http://schemas.openxmlformats.org/officeDocument/2006/relationships/table" Target="../tables/table14.xml"/><Relationship Id="rId10" Type="http://schemas.openxmlformats.org/officeDocument/2006/relationships/table" Target="../tables/table13.xml"/><Relationship Id="rId5" Type="http://schemas.openxmlformats.org/officeDocument/2006/relationships/hyperlink" Target="https://finance.yahoo.com/quote/NFLX/" TargetMode="External"/><Relationship Id="rId6" Type="http://schemas.openxmlformats.org/officeDocument/2006/relationships/hyperlink" Target="https://finance.yahoo.com/quote/DIS/" TargetMode="External"/><Relationship Id="rId7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finance.yahoo.com/quote/NFLX/" TargetMode="External"/><Relationship Id="rId2" Type="http://schemas.openxmlformats.org/officeDocument/2006/relationships/hyperlink" Target="https://finance.yahoo.com/quote/DIS/" TargetMode="External"/><Relationship Id="rId3" Type="http://schemas.openxmlformats.org/officeDocument/2006/relationships/hyperlink" Target="https://finance.yahoo.com/quote/NFLX/" TargetMode="External"/><Relationship Id="rId4" Type="http://schemas.openxmlformats.org/officeDocument/2006/relationships/hyperlink" Target="https://finance.yahoo.com/quote/DIS/" TargetMode="External"/><Relationship Id="rId9" Type="http://schemas.openxmlformats.org/officeDocument/2006/relationships/table" Target="../tables/table16.xml"/><Relationship Id="rId5" Type="http://schemas.openxmlformats.org/officeDocument/2006/relationships/drawing" Target="../drawings/drawing8.xml"/><Relationship Id="rId8" Type="http://schemas.openxmlformats.org/officeDocument/2006/relationships/table" Target="../tables/table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3" width="12.1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1</v>
      </c>
      <c r="F1" s="4" t="s">
        <v>2</v>
      </c>
      <c r="G1" s="5" t="s">
        <v>4</v>
      </c>
    </row>
    <row r="2">
      <c r="A2" s="6">
        <v>46048.0</v>
      </c>
      <c r="B2" s="7">
        <v>83.49</v>
      </c>
      <c r="C2" s="7">
        <v>112.8</v>
      </c>
      <c r="E2" s="8">
        <f t="shared" ref="E2:F2" si="1">(B2-B3)/B3</f>
        <v>-0.03053878309</v>
      </c>
      <c r="F2" s="8">
        <f t="shared" si="1"/>
        <v>0.01639935123</v>
      </c>
      <c r="G2" s="9">
        <f t="shared" ref="G2:H2" si="2">ln(B2)-ln(B3)</f>
        <v>-0.03101480829</v>
      </c>
      <c r="H2" s="9">
        <f t="shared" si="2"/>
        <v>0.01626633417</v>
      </c>
      <c r="I2" s="10" t="s">
        <v>5</v>
      </c>
      <c r="J2" s="10"/>
    </row>
    <row r="3">
      <c r="A3" s="11">
        <v>46041.0</v>
      </c>
      <c r="B3" s="12">
        <v>86.12</v>
      </c>
      <c r="C3" s="12">
        <v>110.98</v>
      </c>
      <c r="E3" s="8">
        <f t="shared" ref="E3:F3" si="3">(B3-B4)/B4</f>
        <v>-0.02136363636</v>
      </c>
      <c r="F3" s="8">
        <f t="shared" si="3"/>
        <v>-0.001978417266</v>
      </c>
      <c r="G3" s="9">
        <f t="shared" ref="G3:H3" si="4">ln(B3)-ln(B4)</f>
        <v>-0.02159514198</v>
      </c>
      <c r="H3" s="9">
        <f t="shared" si="4"/>
        <v>-0.001980376919</v>
      </c>
      <c r="I3" s="13" t="s">
        <v>6</v>
      </c>
    </row>
    <row r="4">
      <c r="A4" s="6">
        <v>46034.0</v>
      </c>
      <c r="B4" s="7">
        <v>88.0</v>
      </c>
      <c r="C4" s="7">
        <v>111.2</v>
      </c>
      <c r="E4" s="8">
        <f t="shared" ref="E4:F4" si="5">(B4-B5)/B5</f>
        <v>-0.01632014308</v>
      </c>
      <c r="F4" s="8">
        <f t="shared" si="5"/>
        <v>-0.04038660683</v>
      </c>
      <c r="G4" s="9">
        <f t="shared" ref="G4:H4" si="6">ln(B4)-ln(B5)</f>
        <v>-0.01645478353</v>
      </c>
      <c r="H4" s="9">
        <f t="shared" si="6"/>
        <v>-0.04122479108</v>
      </c>
      <c r="I4" s="13" t="s">
        <v>7</v>
      </c>
    </row>
    <row r="5">
      <c r="A5" s="11">
        <v>46027.0</v>
      </c>
      <c r="B5" s="12">
        <v>89.46</v>
      </c>
      <c r="C5" s="12">
        <v>115.88</v>
      </c>
      <c r="E5" s="8">
        <f t="shared" ref="E5:F5" si="7">(B5-B6)/B6</f>
        <v>-0.01681503462</v>
      </c>
      <c r="F5" s="8">
        <f t="shared" si="7"/>
        <v>0.03603039785</v>
      </c>
      <c r="G5" s="9">
        <f t="shared" ref="G5:H5" si="8">ln(B5)-ln(B6)</f>
        <v>-0.01695801236</v>
      </c>
      <c r="H5" s="9">
        <f t="shared" si="8"/>
        <v>0.03539648497</v>
      </c>
    </row>
    <row r="6">
      <c r="A6" s="6">
        <v>46020.0</v>
      </c>
      <c r="B6" s="7">
        <v>90.99</v>
      </c>
      <c r="C6" s="7">
        <v>111.85</v>
      </c>
      <c r="E6" s="8">
        <f t="shared" ref="E6:F6" si="9">(B6-B7)/B7</f>
        <v>-0.03683709114</v>
      </c>
      <c r="F6" s="8">
        <f t="shared" si="9"/>
        <v>-0.01505811906</v>
      </c>
      <c r="G6" s="9">
        <f t="shared" ref="G6:H6" si="10">ln(B6)-ln(B7)</f>
        <v>-0.03753271341</v>
      </c>
      <c r="H6" s="9">
        <f t="shared" si="10"/>
        <v>-0.01517264367</v>
      </c>
    </row>
    <row r="7">
      <c r="A7" s="11">
        <v>46013.0</v>
      </c>
      <c r="B7" s="12">
        <v>94.47</v>
      </c>
      <c r="C7" s="12">
        <v>113.56</v>
      </c>
      <c r="E7" s="8">
        <f t="shared" ref="E7:F7" si="11">(B7-B8)/B8</f>
        <v>0.0008475474097</v>
      </c>
      <c r="F7" s="8">
        <f t="shared" si="11"/>
        <v>0.02778531994</v>
      </c>
      <c r="G7" s="9">
        <f t="shared" ref="G7:H7" si="12">ln(B7)-ln(B8)</f>
        <v>0.0008471884442</v>
      </c>
      <c r="H7" s="9">
        <f t="shared" si="12"/>
        <v>0.02740631248</v>
      </c>
    </row>
    <row r="8">
      <c r="A8" s="6">
        <v>46006.0</v>
      </c>
      <c r="B8" s="7">
        <v>94.39</v>
      </c>
      <c r="C8" s="7">
        <v>110.49</v>
      </c>
      <c r="E8" s="8">
        <f t="shared" ref="E8:F8" si="13">(B8-B9)/B9</f>
        <v>-0.008404244143</v>
      </c>
      <c r="F8" s="8">
        <f t="shared" si="13"/>
        <v>-0.003247631935</v>
      </c>
      <c r="G8" s="9">
        <f t="shared" ref="G8:H8" si="14">ln(B8)-ln(B9)</f>
        <v>-0.008439758926</v>
      </c>
      <c r="H8" s="9">
        <f t="shared" si="14"/>
        <v>-0.003252916937</v>
      </c>
    </row>
    <row r="9">
      <c r="A9" s="11">
        <v>45999.0</v>
      </c>
      <c r="B9" s="12">
        <v>95.19</v>
      </c>
      <c r="C9" s="14">
        <v>110.85</v>
      </c>
      <c r="E9" s="8">
        <f t="shared" ref="E9:F9" si="15">(B9-B10)/B10</f>
        <v>-0.05037909018</v>
      </c>
      <c r="F9" s="8">
        <f t="shared" si="15"/>
        <v>0.05985275839</v>
      </c>
      <c r="G9" s="9">
        <f t="shared" ref="G9:H9" si="16">ln(B9)-ln(B10)</f>
        <v>-0.05169241632</v>
      </c>
      <c r="H9" s="9">
        <f t="shared" si="16"/>
        <v>0.0581299913</v>
      </c>
    </row>
    <row r="10">
      <c r="A10" s="6">
        <v>45992.0</v>
      </c>
      <c r="B10" s="7">
        <v>100.24</v>
      </c>
      <c r="C10" s="7">
        <v>104.59</v>
      </c>
      <c r="E10" s="8">
        <f t="shared" ref="E10:F10" si="17">(B10-B11)/B11</f>
        <v>-0.06822829522</v>
      </c>
      <c r="F10" s="8">
        <f t="shared" si="17"/>
        <v>0.007902091163</v>
      </c>
      <c r="G10" s="9">
        <f t="shared" ref="G10:H10" si="18">ln(B10)-ln(B11)</f>
        <v>-0.07066744626</v>
      </c>
      <c r="H10" s="9">
        <f t="shared" si="18"/>
        <v>0.007871033149</v>
      </c>
    </row>
    <row r="11">
      <c r="A11" s="11">
        <v>45985.0</v>
      </c>
      <c r="B11" s="12">
        <v>107.58</v>
      </c>
      <c r="C11" s="14">
        <v>103.77</v>
      </c>
      <c r="E11" s="8">
        <f t="shared" ref="E11:F11" si="19">(B11-B12)/B12</f>
        <v>0.03134886396</v>
      </c>
      <c r="F11" s="8">
        <f t="shared" si="19"/>
        <v>0.001834330952</v>
      </c>
      <c r="G11" s="9">
        <f t="shared" ref="G11:H11" si="20">ln(B11)-ln(B12)</f>
        <v>0.03086752216</v>
      </c>
      <c r="H11" s="9">
        <f t="shared" si="20"/>
        <v>0.001832650621</v>
      </c>
    </row>
    <row r="12">
      <c r="A12" s="11">
        <v>45978.0</v>
      </c>
      <c r="B12" s="12">
        <v>104.31</v>
      </c>
      <c r="C12" s="7">
        <v>103.58</v>
      </c>
      <c r="E12" s="8">
        <f t="shared" ref="E12:F12" si="21">(B12-B13)/B13</f>
        <v>-0.06212911347</v>
      </c>
      <c r="F12" s="8">
        <f t="shared" si="21"/>
        <v>-0.01436863641</v>
      </c>
      <c r="G12" s="9">
        <f t="shared" ref="G12:H12" si="22">ln(B12)-ln(B13)</f>
        <v>-0.06414298707</v>
      </c>
      <c r="H12" s="9">
        <f t="shared" si="22"/>
        <v>-0.01447286488</v>
      </c>
    </row>
    <row r="13">
      <c r="A13" s="6">
        <v>45971.0</v>
      </c>
      <c r="B13" s="7">
        <v>111.22</v>
      </c>
      <c r="C13" s="14">
        <v>105.09</v>
      </c>
      <c r="E13" s="8">
        <f t="shared" ref="E13:F13" si="23">(B13-B14)/B14</f>
        <v>0.007701368125</v>
      </c>
      <c r="F13" s="8">
        <f t="shared" si="23"/>
        <v>-0.04463636364</v>
      </c>
      <c r="G13" s="9">
        <f t="shared" ref="G13:H13" si="24">ln(B13)-ln(B14)</f>
        <v>0.007671863975</v>
      </c>
      <c r="H13" s="9">
        <f t="shared" si="24"/>
        <v>-0.04566323991</v>
      </c>
    </row>
    <row r="14">
      <c r="A14" s="11">
        <v>45964.0</v>
      </c>
      <c r="B14" s="12">
        <v>110.37</v>
      </c>
      <c r="C14" s="7">
        <v>110.0</v>
      </c>
      <c r="E14" s="8">
        <f t="shared" ref="E14:F14" si="25">(B14-B15)/B15</f>
        <v>-0.01358477076</v>
      </c>
      <c r="F14" s="8">
        <f t="shared" si="25"/>
        <v>-0.01662792777</v>
      </c>
      <c r="G14" s="9">
        <f t="shared" ref="G14:H14" si="26">ln(B14)-ln(B15)</f>
        <v>-0.01367788803</v>
      </c>
      <c r="H14" s="9">
        <f t="shared" si="26"/>
        <v>-0.0167677236</v>
      </c>
    </row>
    <row r="15">
      <c r="A15" s="6">
        <v>45957.0</v>
      </c>
      <c r="B15" s="7">
        <v>111.89</v>
      </c>
      <c r="C15" s="14">
        <v>111.86</v>
      </c>
      <c r="E15" s="8">
        <f t="shared" ref="E15:F15" si="27">(B15-B16)/B16</f>
        <v>0.0221065132</v>
      </c>
      <c r="F15" s="8">
        <f t="shared" si="27"/>
        <v>0.008383665375</v>
      </c>
      <c r="G15" s="9">
        <f t="shared" ref="G15:H15" si="28">ln(B15)-ln(B16)</f>
        <v>0.0218657067</v>
      </c>
      <c r="H15" s="9">
        <f t="shared" si="28"/>
        <v>0.008348717643</v>
      </c>
    </row>
    <row r="16">
      <c r="A16" s="11">
        <v>45950.0</v>
      </c>
      <c r="B16" s="12">
        <v>109.47</v>
      </c>
      <c r="C16" s="7">
        <v>110.93</v>
      </c>
      <c r="E16" s="8">
        <f t="shared" ref="E16:F16" si="29">(B16-B17)/B17</f>
        <v>-0.08729364682</v>
      </c>
      <c r="F16" s="8">
        <f t="shared" si="29"/>
        <v>0.009096697899</v>
      </c>
      <c r="G16" s="9">
        <f t="shared" ref="G16:H16" si="30">ln(B16)-ln(B17)</f>
        <v>-0.09134107862</v>
      </c>
      <c r="H16" s="9">
        <f t="shared" si="30"/>
        <v>0.00905557216</v>
      </c>
    </row>
    <row r="17">
      <c r="A17" s="6">
        <v>45943.0</v>
      </c>
      <c r="B17" s="7">
        <v>119.94</v>
      </c>
      <c r="C17" s="14">
        <v>109.93</v>
      </c>
      <c r="E17" s="8">
        <f t="shared" ref="E17:F17" si="31">(B17-B18)/B18</f>
        <v>-0.01696582247</v>
      </c>
      <c r="F17" s="8">
        <f t="shared" si="31"/>
        <v>0.01355338374</v>
      </c>
      <c r="G17" s="9">
        <f t="shared" ref="G17:H17" si="32">ln(B17)-ln(B18)</f>
        <v>-0.01711139085</v>
      </c>
      <c r="H17" s="9">
        <f t="shared" si="32"/>
        <v>0.01346235818</v>
      </c>
    </row>
    <row r="18">
      <c r="A18" s="11">
        <v>45936.0</v>
      </c>
      <c r="B18" s="12">
        <v>122.01</v>
      </c>
      <c r="C18" s="7">
        <v>108.46</v>
      </c>
      <c r="E18" s="8">
        <f t="shared" ref="E18:F18" si="33">(B18-B19)/B19</f>
        <v>0.05792074915</v>
      </c>
      <c r="F18" s="8">
        <f t="shared" si="33"/>
        <v>-0.02909318772</v>
      </c>
      <c r="G18" s="9">
        <f t="shared" ref="G18:H18" si="34">ln(B18)-ln(B19)</f>
        <v>0.05630542435</v>
      </c>
      <c r="H18" s="9">
        <f t="shared" si="34"/>
        <v>-0.02952478617</v>
      </c>
    </row>
    <row r="19">
      <c r="A19" s="6">
        <v>45929.0</v>
      </c>
      <c r="B19" s="7">
        <v>115.33</v>
      </c>
      <c r="C19" s="14">
        <v>111.71</v>
      </c>
      <c r="E19" s="8">
        <f t="shared" ref="E19:F19" si="35">(B19-B20)/B20</f>
        <v>-0.04733190154</v>
      </c>
      <c r="F19" s="8">
        <f t="shared" si="35"/>
        <v>-0.008872327211</v>
      </c>
      <c r="G19" s="9">
        <f t="shared" ref="G19:H19" si="36">ln(B19)-ln(B20)</f>
        <v>-0.04848870623</v>
      </c>
      <c r="H19" s="9">
        <f t="shared" si="36"/>
        <v>-0.008911920671</v>
      </c>
    </row>
    <row r="20">
      <c r="A20" s="11">
        <v>45922.0</v>
      </c>
      <c r="B20" s="12">
        <v>121.06</v>
      </c>
      <c r="C20" s="7">
        <v>112.71</v>
      </c>
      <c r="E20" s="8">
        <f t="shared" ref="E20:F20" si="37">(B20-B21)/B21</f>
        <v>-0.01336593317</v>
      </c>
      <c r="F20" s="8">
        <f t="shared" si="37"/>
        <v>-0.002566371681</v>
      </c>
      <c r="G20" s="9">
        <f t="shared" ref="G20:H20" si="38">ln(B20)-ln(B21)</f>
        <v>-0.01345606125</v>
      </c>
      <c r="H20" s="9">
        <f t="shared" si="38"/>
        <v>-0.002569670458</v>
      </c>
    </row>
    <row r="21">
      <c r="A21" s="6">
        <v>45915.0</v>
      </c>
      <c r="B21" s="7">
        <v>122.7</v>
      </c>
      <c r="C21" s="14">
        <v>113.0</v>
      </c>
      <c r="E21" s="8">
        <f t="shared" ref="E21:F21" si="39">(B21-B22)/B22</f>
        <v>0.03248064625</v>
      </c>
      <c r="F21" s="8">
        <f t="shared" si="39"/>
        <v>-0.01892689703</v>
      </c>
      <c r="G21" s="9">
        <f t="shared" ref="G21:H21" si="40">ln(B21)-ln(B22)</f>
        <v>0.03196430112</v>
      </c>
      <c r="H21" s="9">
        <f t="shared" si="40"/>
        <v>-0.01910830337</v>
      </c>
    </row>
    <row r="22">
      <c r="A22" s="11">
        <v>45908.0</v>
      </c>
      <c r="B22" s="12">
        <v>118.84</v>
      </c>
      <c r="C22" s="7">
        <v>115.18</v>
      </c>
      <c r="E22" s="8">
        <f t="shared" ref="E22:F22" si="41">(B22-B23)/B23</f>
        <v>-0.04454092298</v>
      </c>
      <c r="F22" s="8">
        <f t="shared" si="41"/>
        <v>-0.01656420765</v>
      </c>
      <c r="G22" s="9">
        <f t="shared" ref="G22:H22" si="42">ln(B22)-ln(B23)</f>
        <v>-0.04556334508</v>
      </c>
      <c r="H22" s="9">
        <f t="shared" si="42"/>
        <v>-0.01670292813</v>
      </c>
    </row>
    <row r="23">
      <c r="A23" s="6">
        <v>45901.0</v>
      </c>
      <c r="B23" s="7">
        <v>124.38</v>
      </c>
      <c r="C23" s="7">
        <v>117.12</v>
      </c>
      <c r="E23" s="8">
        <f t="shared" ref="E23:F23" si="43">(B23-B24)/B24</f>
        <v>0.02946532031</v>
      </c>
      <c r="F23" s="8">
        <f t="shared" si="43"/>
        <v>-0.003912229971</v>
      </c>
      <c r="G23" s="9">
        <f t="shared" ref="G23:H23" si="44">ln(B23)-ln(B24)</f>
        <v>0.02903956097</v>
      </c>
      <c r="H23" s="9">
        <f t="shared" si="44"/>
        <v>-0.003919902761</v>
      </c>
    </row>
    <row r="24">
      <c r="A24" s="11">
        <v>45894.0</v>
      </c>
      <c r="B24" s="12">
        <v>120.82</v>
      </c>
      <c r="C24" s="12">
        <v>117.58</v>
      </c>
      <c r="E24" s="8">
        <f t="shared" ref="E24:F24" si="45">(B24-B25)/B25</f>
        <v>0.002988543915</v>
      </c>
      <c r="F24" s="8">
        <f t="shared" si="45"/>
        <v>-0.00406572929</v>
      </c>
      <c r="G24" s="9">
        <f t="shared" ref="G24:H24" si="46">ln(B24)-ln(B25)</f>
        <v>0.002984087095</v>
      </c>
      <c r="H24" s="9">
        <f t="shared" si="46"/>
        <v>-0.004074016838</v>
      </c>
    </row>
    <row r="25">
      <c r="A25" s="6">
        <v>45887.0</v>
      </c>
      <c r="B25" s="7">
        <v>120.46</v>
      </c>
      <c r="C25" s="7">
        <v>118.06</v>
      </c>
      <c r="E25" s="8">
        <f t="shared" ref="E25:F25" si="47">(B25-B26)/B26</f>
        <v>-0.02768585035</v>
      </c>
      <c r="F25" s="8">
        <f t="shared" si="47"/>
        <v>0.03010208533</v>
      </c>
      <c r="G25" s="9">
        <f t="shared" ref="G25:H25" si="48">ln(B25)-ln(B26)</f>
        <v>-0.02807632751</v>
      </c>
      <c r="H25" s="9">
        <f t="shared" si="48"/>
        <v>0.0296579093</v>
      </c>
    </row>
    <row r="26">
      <c r="A26" s="11">
        <v>45880.0</v>
      </c>
      <c r="B26" s="12">
        <v>123.89</v>
      </c>
      <c r="C26" s="12">
        <v>114.61</v>
      </c>
      <c r="E26" s="8">
        <f t="shared" ref="E26:F26" si="49">(B26-B27)/B27</f>
        <v>0.02253218884</v>
      </c>
      <c r="F26" s="8">
        <f t="shared" si="49"/>
        <v>0.02632757231</v>
      </c>
      <c r="G26" s="9">
        <f t="shared" ref="G26:H26" si="50">ln(B26)-ln(B27)</f>
        <v>0.02228208897</v>
      </c>
      <c r="H26" s="9">
        <f t="shared" si="50"/>
        <v>0.02598696705</v>
      </c>
    </row>
    <row r="27">
      <c r="A27" s="6">
        <v>45873.0</v>
      </c>
      <c r="B27" s="7">
        <v>121.16</v>
      </c>
      <c r="C27" s="7">
        <v>111.67</v>
      </c>
      <c r="E27" s="8">
        <f t="shared" ref="E27:F27" si="51">(B27-B28)/B28</f>
        <v>0.04574486449</v>
      </c>
      <c r="F27" s="8">
        <f t="shared" si="51"/>
        <v>-0.03574820827</v>
      </c>
      <c r="G27" s="9">
        <f t="shared" ref="G27:H27" si="52">ln(B27)-ln(B28)</f>
        <v>0.04472942049</v>
      </c>
      <c r="H27" s="9">
        <f t="shared" si="52"/>
        <v>-0.03640282374</v>
      </c>
    </row>
    <row r="28">
      <c r="A28" s="11">
        <v>45866.0</v>
      </c>
      <c r="B28" s="12">
        <v>115.86</v>
      </c>
      <c r="C28" s="12">
        <v>115.81</v>
      </c>
      <c r="E28" s="8">
        <f t="shared" ref="E28:F28" si="53">(B28-B29)/B29</f>
        <v>-0.01855146125</v>
      </c>
      <c r="F28" s="8">
        <f t="shared" si="53"/>
        <v>-0.04011603813</v>
      </c>
      <c r="G28" s="9">
        <f t="shared" ref="G28:H28" si="54">ln(B28)-ln(B29)</f>
        <v>-0.01872569786</v>
      </c>
      <c r="H28" s="9">
        <f t="shared" si="54"/>
        <v>-0.04094287487</v>
      </c>
    </row>
    <row r="29">
      <c r="A29" s="6">
        <v>45859.0</v>
      </c>
      <c r="B29" s="7">
        <v>118.05</v>
      </c>
      <c r="C29" s="7">
        <v>120.65</v>
      </c>
      <c r="E29" s="8">
        <f t="shared" ref="E29:F29" si="55">(B29-B30)/B30</f>
        <v>-0.02373470063</v>
      </c>
      <c r="F29" s="8">
        <f t="shared" si="55"/>
        <v>0.0004145936982</v>
      </c>
      <c r="G29" s="9">
        <f t="shared" ref="G29:H29" si="56">ln(B29)-ln(B30)</f>
        <v>-0.02402090638</v>
      </c>
      <c r="H29" s="9">
        <f t="shared" si="56"/>
        <v>0.000414507778</v>
      </c>
    </row>
    <row r="30">
      <c r="A30" s="11">
        <v>45852.0</v>
      </c>
      <c r="B30" s="12">
        <v>120.92</v>
      </c>
      <c r="C30" s="12">
        <v>120.6</v>
      </c>
      <c r="E30" s="8">
        <f t="shared" ref="E30:F30" si="57">(B30-B31)/B31</f>
        <v>-0.02883302546</v>
      </c>
      <c r="F30" s="8">
        <f t="shared" si="57"/>
        <v>0.0129346548</v>
      </c>
      <c r="G30" s="9">
        <f t="shared" ref="G30:H30" si="58">ln(B30)-ln(B31)</f>
        <v>-0.02925686405</v>
      </c>
      <c r="H30" s="9">
        <f t="shared" si="58"/>
        <v>0.01285171657</v>
      </c>
    </row>
    <row r="31">
      <c r="A31" s="6">
        <v>45845.0</v>
      </c>
      <c r="B31" s="7">
        <v>124.51</v>
      </c>
      <c r="C31" s="7">
        <v>119.06</v>
      </c>
      <c r="E31" s="8">
        <f t="shared" ref="E31:F31" si="59">(B31-B32)/B32</f>
        <v>-0.04016342892</v>
      </c>
      <c r="F31" s="8">
        <f t="shared" si="59"/>
        <v>-0.03336851506</v>
      </c>
      <c r="G31" s="9">
        <f t="shared" ref="G31:H31" si="60">ln(B31)-ln(B32)</f>
        <v>-0.04099224747</v>
      </c>
      <c r="H31" s="9">
        <f t="shared" si="60"/>
        <v>-0.03393794723</v>
      </c>
    </row>
    <row r="32">
      <c r="A32" s="11">
        <v>45838.0</v>
      </c>
      <c r="B32" s="12">
        <v>129.72</v>
      </c>
      <c r="C32" s="12">
        <v>123.17</v>
      </c>
      <c r="E32" s="8">
        <f t="shared" ref="E32:F32" si="61">(B32-B33)/B33</f>
        <v>-0.01957523997</v>
      </c>
      <c r="F32" s="8">
        <f t="shared" si="61"/>
        <v>0.0179338843</v>
      </c>
      <c r="G32" s="9">
        <f t="shared" ref="G32:H32" si="62">ln(B32)-ln(B33)</f>
        <v>-0.01976937262</v>
      </c>
      <c r="H32" s="9">
        <f t="shared" si="62"/>
        <v>0.01777496936</v>
      </c>
    </row>
    <row r="33">
      <c r="A33" s="6">
        <v>45831.0</v>
      </c>
      <c r="B33" s="7">
        <v>132.31</v>
      </c>
      <c r="C33" s="12">
        <v>121.0</v>
      </c>
      <c r="E33" s="8">
        <f t="shared" ref="E33:F33" si="63">(B33-B34)/B34</f>
        <v>0.07446808511</v>
      </c>
      <c r="F33" s="8">
        <f t="shared" si="63"/>
        <v>0.04005501117</v>
      </c>
      <c r="G33" s="9">
        <f t="shared" ref="G33:H33" si="64">ln(B33)-ln(B34)</f>
        <v>0.07182573457</v>
      </c>
      <c r="H33" s="9">
        <f t="shared" si="64"/>
        <v>0.03927360711</v>
      </c>
    </row>
    <row r="34">
      <c r="A34" s="11">
        <v>45824.0</v>
      </c>
      <c r="B34" s="12">
        <v>123.14</v>
      </c>
      <c r="C34" s="7">
        <v>116.34</v>
      </c>
      <c r="E34" s="8">
        <f t="shared" ref="E34:F34" si="65">(B34-B35)/B35</f>
        <v>0.01592277865</v>
      </c>
      <c r="F34" s="8">
        <f t="shared" si="65"/>
        <v>-0.002657522503</v>
      </c>
      <c r="G34" s="9">
        <f t="shared" ref="G34:H34" si="66">ln(B34)-ln(B35)</f>
        <v>0.015797341</v>
      </c>
      <c r="H34" s="9">
        <f t="shared" si="66"/>
        <v>-0.002661059985</v>
      </c>
    </row>
    <row r="35">
      <c r="A35" s="6">
        <v>45817.0</v>
      </c>
      <c r="B35" s="7">
        <v>121.21</v>
      </c>
      <c r="C35" s="12">
        <v>116.65</v>
      </c>
      <c r="E35" s="8">
        <f t="shared" ref="E35:F35" si="67">(B35-B36)/B36</f>
        <v>-0.02368103101</v>
      </c>
      <c r="F35" s="8">
        <f t="shared" si="67"/>
        <v>0.03550821127</v>
      </c>
      <c r="G35" s="9">
        <f t="shared" ref="G35:H35" si="68">ln(B35)-ln(B36)</f>
        <v>-0.02396593347</v>
      </c>
      <c r="H35" s="9">
        <f t="shared" si="68"/>
        <v>0.03489233159</v>
      </c>
    </row>
    <row r="36">
      <c r="A36" s="11">
        <v>45810.0</v>
      </c>
      <c r="B36" s="12">
        <v>124.15</v>
      </c>
      <c r="C36" s="7">
        <v>112.65</v>
      </c>
      <c r="E36" s="8">
        <f t="shared" ref="E36:F36" si="69">(B36-B37)/B37</f>
        <v>0.0284128562</v>
      </c>
      <c r="F36" s="8">
        <f t="shared" si="69"/>
        <v>0.007602862254</v>
      </c>
      <c r="G36" s="9">
        <f t="shared" ref="G36:H36" si="70">ln(B36)-ln(B37)</f>
        <v>0.02801669749</v>
      </c>
      <c r="H36" s="9">
        <f t="shared" si="70"/>
        <v>0.007574106157</v>
      </c>
    </row>
    <row r="37">
      <c r="A37" s="15">
        <v>45803.0</v>
      </c>
      <c r="B37" s="7">
        <v>120.72</v>
      </c>
      <c r="C37" s="12">
        <v>111.8</v>
      </c>
      <c r="E37" s="8">
        <f t="shared" ref="E37:F37" si="71">(B37-B38)/B38</f>
        <v>0.01839041674</v>
      </c>
      <c r="F37" s="8">
        <f t="shared" si="71"/>
        <v>0.03022484335</v>
      </c>
      <c r="G37" s="9">
        <f t="shared" ref="G37:H37" si="72">ln(B37)-ln(B38)</f>
        <v>0.0182233581</v>
      </c>
      <c r="H37" s="9">
        <f t="shared" si="72"/>
        <v>0.02977707293</v>
      </c>
    </row>
    <row r="38">
      <c r="A38" s="16">
        <v>45796.0</v>
      </c>
      <c r="B38" s="12">
        <v>118.54</v>
      </c>
      <c r="C38" s="7">
        <v>108.52</v>
      </c>
      <c r="E38" s="8">
        <f t="shared" ref="E38:F38" si="73">(B38-B39)/B39</f>
        <v>-0.005119597146</v>
      </c>
      <c r="F38" s="8">
        <f t="shared" si="73"/>
        <v>-0.03262613657</v>
      </c>
      <c r="G38" s="9">
        <f t="shared" ref="G38:H38" si="74">ln(B38)-ln(B39)</f>
        <v>-0.005132747185</v>
      </c>
      <c r="H38" s="9">
        <f t="shared" si="74"/>
        <v>-0.03317023629</v>
      </c>
    </row>
    <row r="39">
      <c r="A39" s="15">
        <v>45789.0</v>
      </c>
      <c r="B39" s="7">
        <v>119.15</v>
      </c>
      <c r="C39" s="12">
        <v>112.18</v>
      </c>
      <c r="E39" s="8">
        <f t="shared" ref="E39:F39" si="75">(B39-B40)/B40</f>
        <v>0.04499210665</v>
      </c>
      <c r="F39" s="8">
        <f t="shared" si="75"/>
        <v>0.07062416492</v>
      </c>
      <c r="G39" s="9">
        <f t="shared" ref="G39:H39" si="76">ln(B39)-ln(B40)</f>
        <v>0.04400933194</v>
      </c>
      <c r="H39" s="9">
        <f t="shared" si="76"/>
        <v>0.0682418101</v>
      </c>
    </row>
    <row r="40">
      <c r="A40" s="16">
        <v>45782.0</v>
      </c>
      <c r="B40" s="12">
        <v>114.02</v>
      </c>
      <c r="C40" s="7">
        <v>104.78</v>
      </c>
      <c r="E40" s="8">
        <f t="shared" ref="E40:F40" si="77">(B40-B41)/B41</f>
        <v>-0.01409424989</v>
      </c>
      <c r="F40" s="8">
        <f t="shared" si="77"/>
        <v>0.1453869698</v>
      </c>
      <c r="G40" s="9">
        <f t="shared" ref="G40:H40" si="78">ln(B40)-ln(B41)</f>
        <v>-0.01419451707</v>
      </c>
      <c r="H40" s="9">
        <f t="shared" si="78"/>
        <v>0.1357425448</v>
      </c>
    </row>
    <row r="41">
      <c r="A41" s="6">
        <v>45775.0</v>
      </c>
      <c r="B41" s="7">
        <v>115.65</v>
      </c>
      <c r="C41" s="12">
        <v>91.48</v>
      </c>
      <c r="E41" s="8">
        <f t="shared" ref="E41:F41" si="79">(B41-B42)/B42</f>
        <v>0.04993191103</v>
      </c>
      <c r="F41" s="8">
        <f t="shared" si="79"/>
        <v>0.02452682271</v>
      </c>
      <c r="G41" s="9">
        <f t="shared" ref="G41:H41" si="80">ln(B41)-ln(B42)</f>
        <v>0.04872531543</v>
      </c>
      <c r="H41" s="9">
        <f t="shared" si="80"/>
        <v>0.02423086963</v>
      </c>
    </row>
    <row r="42">
      <c r="A42" s="11">
        <v>45768.0</v>
      </c>
      <c r="B42" s="12">
        <v>110.15</v>
      </c>
      <c r="C42" s="7">
        <v>89.29</v>
      </c>
      <c r="E42" s="8">
        <f t="shared" ref="E42:F42" si="81">(B42-B43)/B43</f>
        <v>0.132065776</v>
      </c>
      <c r="F42" s="8">
        <f t="shared" si="81"/>
        <v>0.06449690033</v>
      </c>
      <c r="G42" s="9">
        <f t="shared" ref="G42:H42" si="82">ln(B42)-ln(B43)</f>
        <v>0.1240440841</v>
      </c>
      <c r="H42" s="9">
        <f t="shared" si="82"/>
        <v>0.0625022935</v>
      </c>
    </row>
    <row r="43">
      <c r="A43" s="6">
        <v>45761.0</v>
      </c>
      <c r="B43" s="7">
        <v>97.3</v>
      </c>
      <c r="C43" s="12">
        <v>83.88</v>
      </c>
      <c r="E43" s="8">
        <f t="shared" ref="E43:F43" si="83">(B43-B44)/B44</f>
        <v>0.05956659044</v>
      </c>
      <c r="F43" s="8">
        <f t="shared" si="83"/>
        <v>-0.0009528346832</v>
      </c>
      <c r="G43" s="9">
        <f t="shared" ref="G43:H43" si="84">ln(B43)-ln(B44)</f>
        <v>0.05785994757</v>
      </c>
      <c r="H43" s="9">
        <f t="shared" si="84"/>
        <v>-0.0009532889187</v>
      </c>
    </row>
    <row r="44">
      <c r="A44" s="11">
        <v>45754.0</v>
      </c>
      <c r="B44" s="12">
        <v>91.83</v>
      </c>
      <c r="C44" s="7">
        <v>83.96</v>
      </c>
      <c r="E44" s="8">
        <f t="shared" ref="E44:F44" si="85">(B44-B45)/B45</f>
        <v>0.07290571328</v>
      </c>
      <c r="F44" s="8">
        <f t="shared" si="85"/>
        <v>0.01621883321</v>
      </c>
      <c r="G44" s="9">
        <f t="shared" ref="G44:H44" si="86">ln(B44)-ln(B45)</f>
        <v>0.07037058773</v>
      </c>
      <c r="H44" s="9">
        <f t="shared" si="86"/>
        <v>0.01608871298</v>
      </c>
    </row>
    <row r="45">
      <c r="A45" s="6">
        <v>45747.0</v>
      </c>
      <c r="B45" s="7">
        <v>85.59</v>
      </c>
      <c r="C45" s="12">
        <v>82.62</v>
      </c>
      <c r="E45" s="8">
        <f t="shared" ref="E45:F45" si="87">(B45-B46)/B46</f>
        <v>-0.08352071956</v>
      </c>
      <c r="F45" s="8">
        <f t="shared" si="87"/>
        <v>-0.1482474227</v>
      </c>
      <c r="G45" s="9">
        <f t="shared" ref="G45:H45" si="88">ln(B45)-ln(B46)</f>
        <v>-0.08721581923</v>
      </c>
      <c r="H45" s="9">
        <f t="shared" si="88"/>
        <v>-0.1604591965</v>
      </c>
    </row>
    <row r="46">
      <c r="A46" s="11">
        <v>45740.0</v>
      </c>
      <c r="B46" s="12">
        <v>93.39</v>
      </c>
      <c r="C46" s="7">
        <v>97.0</v>
      </c>
      <c r="E46" s="8">
        <f t="shared" ref="E46:F46" si="89">(B46-B47)/B47</f>
        <v>-0.02749140893</v>
      </c>
      <c r="F46" s="8">
        <f t="shared" si="89"/>
        <v>-0.01392701027</v>
      </c>
      <c r="G46" s="9">
        <f t="shared" ref="G46:H46" si="90">ln(B46)-ln(B47)</f>
        <v>-0.02787636953</v>
      </c>
      <c r="H46" s="9">
        <f t="shared" si="90"/>
        <v>-0.01402490102</v>
      </c>
    </row>
    <row r="47">
      <c r="A47" s="6">
        <v>45733.0</v>
      </c>
      <c r="B47" s="7">
        <v>96.03</v>
      </c>
      <c r="C47" s="12">
        <v>98.37</v>
      </c>
      <c r="E47" s="8">
        <f t="shared" ref="E47:F47" si="91">(B47-B48)/B48</f>
        <v>0.04607843137</v>
      </c>
      <c r="F47" s="8">
        <f t="shared" si="91"/>
        <v>0.008302583026</v>
      </c>
      <c r="G47" s="9">
        <f t="shared" ref="G47:H47" si="92">ln(B47)-ln(B48)</f>
        <v>0.04504834502</v>
      </c>
      <c r="H47" s="9">
        <f t="shared" si="92"/>
        <v>0.008268306177</v>
      </c>
    </row>
    <row r="48">
      <c r="A48" s="11">
        <v>45726.0</v>
      </c>
      <c r="B48" s="12">
        <v>91.8</v>
      </c>
      <c r="C48" s="7">
        <v>97.56</v>
      </c>
      <c r="E48" s="8">
        <f t="shared" ref="E48:F48" si="93">(B48-B49)/B49</f>
        <v>0.03018740882</v>
      </c>
      <c r="F48" s="8">
        <f t="shared" si="93"/>
        <v>-0.06515906478</v>
      </c>
      <c r="G48" s="9">
        <f t="shared" ref="G48:H48" si="94">ln(B48)-ln(B49)</f>
        <v>0.029740736</v>
      </c>
      <c r="H48" s="9">
        <f t="shared" si="94"/>
        <v>-0.06737888692</v>
      </c>
    </row>
    <row r="49">
      <c r="A49" s="6">
        <v>45719.0</v>
      </c>
      <c r="B49" s="7">
        <v>89.11</v>
      </c>
      <c r="C49" s="12">
        <v>104.36</v>
      </c>
      <c r="E49" s="8">
        <f t="shared" ref="E49:F49" si="95">(B49-B50)/B50</f>
        <v>-0.09127065062</v>
      </c>
      <c r="F49" s="8">
        <f t="shared" si="95"/>
        <v>-0.07285003554</v>
      </c>
      <c r="G49" s="9">
        <f t="shared" ref="G49:H49" si="96">ln(B49)-ln(B50)</f>
        <v>-0.0957079746</v>
      </c>
      <c r="H49" s="9">
        <f t="shared" si="96"/>
        <v>-0.07563995254</v>
      </c>
    </row>
    <row r="50">
      <c r="A50" s="11">
        <v>45712.0</v>
      </c>
      <c r="B50" s="12">
        <v>98.06</v>
      </c>
      <c r="C50" s="7">
        <v>112.56</v>
      </c>
      <c r="E50" s="8">
        <f t="shared" ref="E50:F50" si="97">(B50-B51)/B51</f>
        <v>-0.02252791069</v>
      </c>
      <c r="F50" s="8">
        <f t="shared" si="97"/>
        <v>0.04736205453</v>
      </c>
      <c r="G50" s="9">
        <f t="shared" ref="G50:H50" si="98">ln(B50)-ln(B51)</f>
        <v>-0.02278554066</v>
      </c>
      <c r="H50" s="9">
        <f t="shared" si="98"/>
        <v>0.04627467395</v>
      </c>
    </row>
    <row r="51">
      <c r="A51" s="17">
        <v>45705.0</v>
      </c>
      <c r="B51" s="18">
        <v>100.32</v>
      </c>
      <c r="C51" s="12">
        <v>107.47</v>
      </c>
      <c r="E51" s="8">
        <f t="shared" ref="E51:F51" si="99">(B51-B52)/B52</f>
        <v>-0.05233327036</v>
      </c>
      <c r="F51" s="8">
        <f t="shared" si="99"/>
        <v>-0.0155720436</v>
      </c>
      <c r="G51" s="9">
        <f t="shared" ref="G51:H51" si="100">ln(B51)-ln(B52)</f>
        <v>-0.05375238955</v>
      </c>
      <c r="H51" s="9">
        <f t="shared" si="100"/>
        <v>-0.01569456144</v>
      </c>
    </row>
    <row r="52">
      <c r="A52" s="11">
        <v>45698.0</v>
      </c>
      <c r="B52" s="12">
        <v>105.86</v>
      </c>
      <c r="C52" s="18">
        <v>109.17</v>
      </c>
      <c r="E52" s="8">
        <f t="shared" ref="E52:F52" si="101">(B52-B53)/B53</f>
        <v>0.04408718809</v>
      </c>
      <c r="F52" s="8">
        <f t="shared" si="101"/>
        <v>-0.004377564979</v>
      </c>
      <c r="G52" s="9">
        <f t="shared" ref="G52:H52" si="102">ln(B52)-ln(B53)</f>
        <v>0.04314299947</v>
      </c>
      <c r="H52" s="9">
        <f t="shared" si="102"/>
        <v>-0.004387174572</v>
      </c>
    </row>
    <row r="53">
      <c r="A53" s="6">
        <v>45691.0</v>
      </c>
      <c r="B53" s="7">
        <v>101.39</v>
      </c>
      <c r="C53" s="12">
        <v>109.65</v>
      </c>
      <c r="E53" s="19"/>
      <c r="G53" s="20"/>
    </row>
    <row r="54">
      <c r="A54" s="21"/>
      <c r="B54" s="22"/>
      <c r="C54" s="22"/>
    </row>
    <row r="55">
      <c r="A55" s="23"/>
      <c r="B55" s="23"/>
      <c r="C55" s="22"/>
    </row>
    <row r="56">
      <c r="A56" s="23"/>
      <c r="B56" s="23"/>
      <c r="C56" s="23"/>
    </row>
    <row r="57">
      <c r="A57" s="23"/>
      <c r="B57" s="23"/>
      <c r="C57" s="23"/>
    </row>
    <row r="58">
      <c r="A58" s="23"/>
      <c r="B58" s="23"/>
      <c r="C58" s="23"/>
    </row>
    <row r="59">
      <c r="A59" s="23"/>
      <c r="B59" s="23"/>
      <c r="C59" s="23"/>
    </row>
    <row r="60">
      <c r="A60" s="23"/>
      <c r="B60" s="23"/>
      <c r="C60" s="23"/>
    </row>
    <row r="61">
      <c r="A61" s="23"/>
      <c r="B61" s="23"/>
      <c r="C61" s="23"/>
    </row>
    <row r="62">
      <c r="A62" s="23"/>
      <c r="B62" s="23"/>
      <c r="C62" s="23"/>
    </row>
    <row r="63">
      <c r="A63" s="23"/>
      <c r="B63" s="23"/>
      <c r="C63" s="23"/>
    </row>
    <row r="64">
      <c r="A64" s="23"/>
      <c r="B64" s="23"/>
      <c r="C64" s="23"/>
    </row>
    <row r="65">
      <c r="A65" s="23"/>
      <c r="B65" s="23"/>
      <c r="C65" s="23"/>
    </row>
    <row r="66">
      <c r="A66" s="23"/>
      <c r="B66" s="23"/>
      <c r="C66" s="23"/>
    </row>
    <row r="67">
      <c r="A67" s="23"/>
      <c r="B67" s="23"/>
      <c r="C67" s="23"/>
    </row>
    <row r="68">
      <c r="A68" s="23"/>
      <c r="B68" s="23"/>
      <c r="C68" s="23"/>
    </row>
    <row r="69">
      <c r="A69" s="23"/>
      <c r="B69" s="23"/>
      <c r="C69" s="23"/>
    </row>
    <row r="70">
      <c r="A70" s="23"/>
      <c r="B70" s="23"/>
      <c r="C70" s="23"/>
    </row>
    <row r="71">
      <c r="A71" s="23"/>
      <c r="B71" s="23"/>
      <c r="C71" s="23"/>
    </row>
    <row r="72">
      <c r="A72" s="23"/>
      <c r="B72" s="23"/>
      <c r="C72" s="23"/>
    </row>
    <row r="73">
      <c r="A73" s="23"/>
      <c r="B73" s="23"/>
      <c r="C73" s="23"/>
    </row>
    <row r="74">
      <c r="A74" s="23"/>
      <c r="B74" s="23"/>
      <c r="C74" s="23"/>
    </row>
    <row r="75">
      <c r="A75" s="23"/>
      <c r="B75" s="23"/>
      <c r="C75" s="23"/>
    </row>
    <row r="76">
      <c r="A76" s="23"/>
      <c r="B76" s="23"/>
      <c r="C76" s="23"/>
    </row>
    <row r="77">
      <c r="A77" s="23"/>
      <c r="B77" s="23"/>
      <c r="C77" s="23"/>
    </row>
    <row r="78">
      <c r="A78" s="23"/>
      <c r="B78" s="23"/>
      <c r="C78" s="23"/>
    </row>
    <row r="79">
      <c r="A79" s="23"/>
      <c r="B79" s="23"/>
      <c r="C79" s="23"/>
    </row>
    <row r="80">
      <c r="A80" s="23"/>
      <c r="B80" s="23"/>
      <c r="C80" s="23"/>
    </row>
    <row r="81">
      <c r="A81" s="23"/>
      <c r="B81" s="23"/>
      <c r="C81" s="23"/>
    </row>
    <row r="82">
      <c r="A82" s="23"/>
      <c r="B82" s="23"/>
      <c r="C82" s="23"/>
    </row>
    <row r="83">
      <c r="A83" s="23"/>
      <c r="B83" s="23"/>
      <c r="C83" s="23"/>
    </row>
    <row r="84">
      <c r="A84" s="23"/>
      <c r="B84" s="23"/>
      <c r="C84" s="23"/>
    </row>
    <row r="85">
      <c r="A85" s="23"/>
      <c r="B85" s="23"/>
      <c r="C85" s="23"/>
    </row>
    <row r="86">
      <c r="A86" s="23"/>
      <c r="B86" s="23"/>
      <c r="C86" s="23"/>
    </row>
    <row r="87">
      <c r="A87" s="23"/>
      <c r="B87" s="23"/>
      <c r="C87" s="23"/>
    </row>
    <row r="88">
      <c r="A88" s="23"/>
      <c r="B88" s="23"/>
      <c r="C88" s="23"/>
    </row>
    <row r="89">
      <c r="A89" s="23"/>
      <c r="B89" s="23"/>
      <c r="C89" s="23"/>
    </row>
    <row r="90">
      <c r="A90" s="23"/>
      <c r="B90" s="23"/>
      <c r="C90" s="23"/>
    </row>
    <row r="91">
      <c r="A91" s="23"/>
      <c r="B91" s="23"/>
      <c r="C91" s="23"/>
    </row>
    <row r="92">
      <c r="A92" s="23"/>
      <c r="B92" s="23"/>
      <c r="C92" s="23"/>
    </row>
    <row r="93">
      <c r="A93" s="23"/>
      <c r="B93" s="23"/>
      <c r="C93" s="23"/>
    </row>
    <row r="94">
      <c r="A94" s="23"/>
      <c r="B94" s="23"/>
      <c r="C94" s="23"/>
    </row>
    <row r="95">
      <c r="A95" s="23"/>
      <c r="B95" s="23"/>
      <c r="C95" s="23"/>
    </row>
    <row r="96">
      <c r="A96" s="23"/>
      <c r="B96" s="23"/>
      <c r="C96" s="23"/>
    </row>
    <row r="97">
      <c r="A97" s="23"/>
      <c r="B97" s="23"/>
      <c r="C97" s="23"/>
    </row>
    <row r="98">
      <c r="A98" s="23"/>
      <c r="B98" s="23"/>
      <c r="C98" s="23"/>
    </row>
    <row r="99">
      <c r="A99" s="23"/>
      <c r="B99" s="23"/>
      <c r="C99" s="23"/>
    </row>
    <row r="100">
      <c r="A100" s="23"/>
      <c r="B100" s="23"/>
      <c r="C100" s="23"/>
    </row>
    <row r="101">
      <c r="A101" s="23"/>
      <c r="B101" s="23"/>
      <c r="C101" s="23"/>
    </row>
    <row r="102">
      <c r="A102" s="23"/>
      <c r="B102" s="23"/>
      <c r="C102" s="23"/>
    </row>
    <row r="103">
      <c r="A103" s="23"/>
      <c r="B103" s="23"/>
      <c r="C103" s="23"/>
    </row>
    <row r="104">
      <c r="A104" s="23"/>
      <c r="B104" s="23"/>
      <c r="C104" s="23"/>
    </row>
    <row r="105">
      <c r="A105" s="23"/>
      <c r="B105" s="23"/>
      <c r="C105" s="23"/>
    </row>
    <row r="106">
      <c r="A106" s="23"/>
      <c r="B106" s="23"/>
      <c r="C106" s="23"/>
    </row>
    <row r="107">
      <c r="A107" s="23"/>
      <c r="B107" s="23"/>
      <c r="C107" s="23"/>
    </row>
    <row r="108">
      <c r="A108" s="23"/>
      <c r="B108" s="23"/>
      <c r="C108" s="23"/>
    </row>
    <row r="109">
      <c r="A109" s="23"/>
      <c r="B109" s="23"/>
      <c r="C109" s="23"/>
    </row>
    <row r="110">
      <c r="A110" s="23"/>
      <c r="B110" s="23"/>
      <c r="C110" s="23"/>
    </row>
    <row r="111">
      <c r="A111" s="23"/>
      <c r="B111" s="23"/>
      <c r="C111" s="23"/>
    </row>
    <row r="112">
      <c r="A112" s="23"/>
      <c r="B112" s="23"/>
      <c r="C112" s="23"/>
    </row>
    <row r="113">
      <c r="A113" s="23"/>
      <c r="B113" s="23"/>
      <c r="C113" s="23"/>
    </row>
    <row r="114">
      <c r="A114" s="23"/>
      <c r="B114" s="23"/>
      <c r="C114" s="23"/>
    </row>
    <row r="115">
      <c r="A115" s="23"/>
      <c r="B115" s="23"/>
      <c r="C115" s="23"/>
    </row>
    <row r="116">
      <c r="A116" s="23"/>
      <c r="B116" s="23"/>
      <c r="C116" s="23"/>
    </row>
    <row r="117">
      <c r="A117" s="23"/>
      <c r="B117" s="23"/>
      <c r="C117" s="23"/>
    </row>
    <row r="118">
      <c r="A118" s="23"/>
      <c r="B118" s="23"/>
      <c r="C118" s="23"/>
    </row>
    <row r="119">
      <c r="A119" s="23"/>
      <c r="B119" s="23"/>
      <c r="C119" s="23"/>
    </row>
    <row r="120">
      <c r="A120" s="23"/>
      <c r="B120" s="23"/>
      <c r="C120" s="23"/>
    </row>
    <row r="121">
      <c r="A121" s="23"/>
      <c r="B121" s="23"/>
      <c r="C121" s="23"/>
    </row>
    <row r="122">
      <c r="A122" s="23"/>
      <c r="B122" s="23"/>
      <c r="C122" s="23"/>
    </row>
    <row r="123">
      <c r="A123" s="23"/>
      <c r="B123" s="23"/>
      <c r="C123" s="23"/>
    </row>
    <row r="124">
      <c r="A124" s="23"/>
      <c r="B124" s="23"/>
      <c r="C124" s="23"/>
    </row>
    <row r="125">
      <c r="A125" s="23"/>
      <c r="B125" s="23"/>
      <c r="C125" s="23"/>
    </row>
    <row r="126">
      <c r="A126" s="23"/>
      <c r="B126" s="23"/>
      <c r="C126" s="23"/>
    </row>
    <row r="127">
      <c r="A127" s="23"/>
      <c r="B127" s="23"/>
      <c r="C127" s="23"/>
    </row>
    <row r="128">
      <c r="A128" s="23"/>
      <c r="B128" s="23"/>
      <c r="C128" s="23"/>
    </row>
    <row r="129">
      <c r="A129" s="23"/>
      <c r="B129" s="23"/>
      <c r="C129" s="23"/>
    </row>
    <row r="130">
      <c r="A130" s="23"/>
      <c r="B130" s="23"/>
      <c r="C130" s="23"/>
    </row>
    <row r="131">
      <c r="A131" s="23"/>
      <c r="B131" s="23"/>
      <c r="C131" s="23"/>
    </row>
    <row r="132">
      <c r="A132" s="23"/>
      <c r="B132" s="23"/>
      <c r="C132" s="23"/>
    </row>
    <row r="133">
      <c r="A133" s="23"/>
      <c r="B133" s="23"/>
      <c r="C133" s="23"/>
    </row>
    <row r="134">
      <c r="A134" s="23"/>
      <c r="B134" s="23"/>
      <c r="C134" s="23"/>
    </row>
    <row r="135">
      <c r="A135" s="23"/>
      <c r="B135" s="23"/>
      <c r="C135" s="23"/>
    </row>
    <row r="136">
      <c r="A136" s="23"/>
      <c r="B136" s="23"/>
      <c r="C136" s="23"/>
    </row>
    <row r="137">
      <c r="A137" s="23"/>
      <c r="B137" s="23"/>
      <c r="C137" s="23"/>
    </row>
    <row r="138">
      <c r="A138" s="23"/>
      <c r="B138" s="23"/>
      <c r="C138" s="23"/>
    </row>
    <row r="139">
      <c r="A139" s="23"/>
      <c r="B139" s="23"/>
      <c r="C139" s="23"/>
    </row>
    <row r="140">
      <c r="A140" s="23"/>
      <c r="B140" s="23"/>
      <c r="C140" s="23"/>
    </row>
    <row r="141">
      <c r="A141" s="23"/>
      <c r="B141" s="23"/>
      <c r="C141" s="23"/>
    </row>
    <row r="142">
      <c r="A142" s="23"/>
      <c r="B142" s="23"/>
      <c r="C142" s="23"/>
    </row>
    <row r="143">
      <c r="A143" s="23"/>
      <c r="B143" s="23"/>
      <c r="C143" s="23"/>
    </row>
    <row r="144">
      <c r="A144" s="23"/>
      <c r="B144" s="23"/>
      <c r="C144" s="23"/>
    </row>
    <row r="145">
      <c r="A145" s="23"/>
      <c r="B145" s="23"/>
      <c r="C145" s="23"/>
    </row>
    <row r="146">
      <c r="A146" s="23"/>
      <c r="B146" s="23"/>
      <c r="C146" s="23"/>
    </row>
    <row r="147">
      <c r="A147" s="23"/>
      <c r="B147" s="23"/>
      <c r="C147" s="23"/>
    </row>
    <row r="148">
      <c r="A148" s="23"/>
      <c r="B148" s="23"/>
      <c r="C148" s="23"/>
    </row>
    <row r="149">
      <c r="A149" s="23"/>
      <c r="B149" s="23"/>
      <c r="C149" s="23"/>
    </row>
    <row r="150">
      <c r="A150" s="23"/>
      <c r="B150" s="23"/>
      <c r="C150" s="23"/>
    </row>
    <row r="151">
      <c r="A151" s="23"/>
      <c r="B151" s="23"/>
      <c r="C151" s="23"/>
    </row>
    <row r="152">
      <c r="A152" s="23"/>
      <c r="B152" s="23"/>
      <c r="C152" s="23"/>
    </row>
    <row r="153">
      <c r="A153" s="23"/>
      <c r="B153" s="23"/>
      <c r="C153" s="23"/>
    </row>
    <row r="154">
      <c r="A154" s="23"/>
      <c r="B154" s="23"/>
      <c r="C154" s="23"/>
    </row>
    <row r="155">
      <c r="A155" s="23"/>
      <c r="B155" s="23"/>
      <c r="C155" s="23"/>
    </row>
    <row r="156">
      <c r="A156" s="23"/>
      <c r="B156" s="23"/>
      <c r="C156" s="23"/>
    </row>
    <row r="157">
      <c r="A157" s="23"/>
      <c r="B157" s="23"/>
      <c r="C157" s="23"/>
    </row>
    <row r="158">
      <c r="A158" s="23"/>
      <c r="B158" s="23"/>
      <c r="C158" s="23"/>
    </row>
    <row r="159">
      <c r="A159" s="23"/>
      <c r="B159" s="23"/>
      <c r="C159" s="23"/>
    </row>
    <row r="160">
      <c r="A160" s="23"/>
      <c r="B160" s="23"/>
      <c r="C160" s="23"/>
    </row>
    <row r="161">
      <c r="A161" s="23"/>
      <c r="B161" s="23"/>
      <c r="C161" s="23"/>
    </row>
    <row r="162">
      <c r="A162" s="23"/>
      <c r="B162" s="23"/>
      <c r="C162" s="23"/>
    </row>
    <row r="163">
      <c r="A163" s="23"/>
      <c r="B163" s="23"/>
      <c r="C163" s="23"/>
    </row>
    <row r="164">
      <c r="A164" s="23"/>
      <c r="B164" s="23"/>
      <c r="C164" s="23"/>
    </row>
    <row r="165">
      <c r="A165" s="23"/>
      <c r="B165" s="23"/>
      <c r="C165" s="23"/>
    </row>
    <row r="166">
      <c r="A166" s="23"/>
      <c r="B166" s="23"/>
      <c r="C166" s="23"/>
    </row>
    <row r="167">
      <c r="A167" s="23"/>
      <c r="B167" s="23"/>
      <c r="C167" s="23"/>
    </row>
    <row r="168">
      <c r="A168" s="23"/>
      <c r="B168" s="23"/>
      <c r="C168" s="23"/>
    </row>
    <row r="169">
      <c r="A169" s="23"/>
      <c r="B169" s="23"/>
      <c r="C169" s="23"/>
    </row>
    <row r="170">
      <c r="A170" s="23"/>
      <c r="B170" s="23"/>
      <c r="C170" s="23"/>
    </row>
    <row r="171">
      <c r="A171" s="23"/>
      <c r="B171" s="23"/>
      <c r="C171" s="23"/>
    </row>
    <row r="172">
      <c r="A172" s="23"/>
      <c r="B172" s="23"/>
      <c r="C172" s="23"/>
    </row>
    <row r="173">
      <c r="A173" s="23"/>
      <c r="B173" s="23"/>
      <c r="C173" s="23"/>
    </row>
    <row r="174">
      <c r="A174" s="23"/>
      <c r="B174" s="23"/>
      <c r="C174" s="23"/>
    </row>
    <row r="175">
      <c r="A175" s="23"/>
      <c r="B175" s="23"/>
      <c r="C175" s="23"/>
    </row>
    <row r="176">
      <c r="A176" s="23"/>
      <c r="B176" s="23"/>
      <c r="C176" s="23"/>
    </row>
    <row r="177">
      <c r="A177" s="23"/>
      <c r="B177" s="23"/>
      <c r="C177" s="23"/>
    </row>
    <row r="178">
      <c r="A178" s="23"/>
      <c r="B178" s="23"/>
      <c r="C178" s="23"/>
    </row>
    <row r="179">
      <c r="A179" s="23"/>
      <c r="B179" s="23"/>
      <c r="C179" s="23"/>
    </row>
    <row r="180">
      <c r="A180" s="23"/>
      <c r="B180" s="23"/>
      <c r="C180" s="23"/>
    </row>
    <row r="181">
      <c r="A181" s="23"/>
      <c r="B181" s="23"/>
      <c r="C181" s="23"/>
    </row>
    <row r="182">
      <c r="A182" s="23"/>
      <c r="B182" s="23"/>
      <c r="C182" s="23"/>
    </row>
    <row r="183">
      <c r="A183" s="23"/>
      <c r="B183" s="23"/>
      <c r="C183" s="23"/>
    </row>
    <row r="184">
      <c r="A184" s="23"/>
      <c r="B184" s="23"/>
      <c r="C184" s="23"/>
    </row>
    <row r="185">
      <c r="A185" s="23"/>
      <c r="B185" s="23"/>
      <c r="C185" s="23"/>
    </row>
    <row r="186">
      <c r="A186" s="23"/>
      <c r="B186" s="23"/>
      <c r="C186" s="23"/>
    </row>
    <row r="187">
      <c r="A187" s="23"/>
      <c r="B187" s="23"/>
      <c r="C187" s="23"/>
    </row>
    <row r="188">
      <c r="A188" s="23"/>
      <c r="B188" s="23"/>
      <c r="C188" s="23"/>
    </row>
    <row r="189">
      <c r="A189" s="23"/>
      <c r="B189" s="23"/>
      <c r="C189" s="23"/>
    </row>
    <row r="190">
      <c r="A190" s="23"/>
      <c r="B190" s="23"/>
      <c r="C190" s="23"/>
    </row>
    <row r="191">
      <c r="A191" s="23"/>
      <c r="B191" s="23"/>
      <c r="C191" s="23"/>
    </row>
    <row r="192">
      <c r="A192" s="23"/>
      <c r="B192" s="23"/>
      <c r="C192" s="23"/>
    </row>
    <row r="193">
      <c r="A193" s="23"/>
      <c r="B193" s="23"/>
      <c r="C193" s="23"/>
    </row>
    <row r="194">
      <c r="A194" s="23"/>
      <c r="B194" s="23"/>
      <c r="C194" s="23"/>
    </row>
    <row r="195">
      <c r="A195" s="23"/>
      <c r="B195" s="23"/>
      <c r="C195" s="23"/>
    </row>
    <row r="196">
      <c r="A196" s="23"/>
      <c r="B196" s="23"/>
      <c r="C196" s="23"/>
    </row>
    <row r="197">
      <c r="A197" s="23"/>
      <c r="B197" s="23"/>
      <c r="C197" s="23"/>
    </row>
    <row r="198">
      <c r="A198" s="23"/>
      <c r="B198" s="23"/>
      <c r="C198" s="23"/>
    </row>
    <row r="199">
      <c r="A199" s="23"/>
      <c r="B199" s="23"/>
      <c r="C199" s="23"/>
    </row>
    <row r="200">
      <c r="A200" s="23"/>
      <c r="B200" s="23"/>
      <c r="C200" s="23"/>
    </row>
    <row r="201">
      <c r="A201" s="23"/>
      <c r="B201" s="23"/>
      <c r="C201" s="23"/>
    </row>
    <row r="202">
      <c r="A202" s="23"/>
      <c r="B202" s="23"/>
      <c r="C202" s="23"/>
    </row>
    <row r="203">
      <c r="A203" s="23"/>
      <c r="B203" s="23"/>
      <c r="C203" s="23"/>
    </row>
    <row r="204">
      <c r="A204" s="23"/>
      <c r="B204" s="23"/>
      <c r="C204" s="23"/>
    </row>
    <row r="205">
      <c r="A205" s="23"/>
      <c r="B205" s="23"/>
      <c r="C205" s="23"/>
    </row>
    <row r="206">
      <c r="A206" s="23"/>
      <c r="B206" s="23"/>
      <c r="C206" s="23"/>
    </row>
    <row r="207">
      <c r="A207" s="23"/>
      <c r="B207" s="23"/>
      <c r="C207" s="23"/>
    </row>
    <row r="208">
      <c r="A208" s="23"/>
      <c r="B208" s="23"/>
      <c r="C208" s="23"/>
    </row>
    <row r="209">
      <c r="A209" s="23"/>
      <c r="B209" s="23"/>
      <c r="C209" s="23"/>
    </row>
    <row r="210">
      <c r="A210" s="23"/>
      <c r="B210" s="23"/>
      <c r="C210" s="23"/>
    </row>
    <row r="211">
      <c r="A211" s="23"/>
      <c r="B211" s="23"/>
      <c r="C211" s="23"/>
    </row>
    <row r="212">
      <c r="A212" s="23"/>
      <c r="B212" s="23"/>
      <c r="C212" s="23"/>
    </row>
    <row r="213">
      <c r="A213" s="23"/>
      <c r="B213" s="23"/>
      <c r="C213" s="23"/>
    </row>
    <row r="214">
      <c r="A214" s="23"/>
      <c r="B214" s="23"/>
      <c r="C214" s="23"/>
    </row>
    <row r="215">
      <c r="A215" s="23"/>
      <c r="B215" s="23"/>
      <c r="C215" s="23"/>
    </row>
    <row r="216">
      <c r="A216" s="23"/>
      <c r="B216" s="23"/>
      <c r="C216" s="23"/>
    </row>
    <row r="217">
      <c r="A217" s="23"/>
      <c r="B217" s="23"/>
      <c r="C217" s="23"/>
    </row>
    <row r="218">
      <c r="A218" s="23"/>
      <c r="B218" s="23"/>
      <c r="C218" s="23"/>
    </row>
    <row r="219">
      <c r="A219" s="23"/>
      <c r="B219" s="23"/>
      <c r="C219" s="23"/>
    </row>
    <row r="220">
      <c r="A220" s="23"/>
      <c r="B220" s="23"/>
      <c r="C220" s="23"/>
    </row>
    <row r="221">
      <c r="A221" s="23"/>
      <c r="B221" s="23"/>
      <c r="C221" s="23"/>
    </row>
    <row r="222">
      <c r="A222" s="23"/>
      <c r="B222" s="23"/>
      <c r="C222" s="23"/>
    </row>
    <row r="223">
      <c r="A223" s="23"/>
      <c r="B223" s="23"/>
      <c r="C223" s="23"/>
    </row>
    <row r="224">
      <c r="A224" s="23"/>
      <c r="B224" s="23"/>
      <c r="C224" s="23"/>
    </row>
    <row r="225">
      <c r="A225" s="23"/>
      <c r="B225" s="23"/>
      <c r="C225" s="23"/>
    </row>
    <row r="226">
      <c r="A226" s="23"/>
      <c r="B226" s="23"/>
      <c r="C226" s="23"/>
    </row>
    <row r="227">
      <c r="A227" s="23"/>
      <c r="B227" s="23"/>
      <c r="C227" s="23"/>
    </row>
    <row r="228">
      <c r="A228" s="23"/>
      <c r="B228" s="23"/>
      <c r="C228" s="23"/>
    </row>
    <row r="229">
      <c r="A229" s="23"/>
      <c r="B229" s="23"/>
      <c r="C229" s="23"/>
    </row>
    <row r="230">
      <c r="A230" s="23"/>
      <c r="B230" s="23"/>
      <c r="C230" s="23"/>
    </row>
    <row r="231">
      <c r="A231" s="23"/>
      <c r="B231" s="23"/>
      <c r="C231" s="23"/>
    </row>
    <row r="232">
      <c r="A232" s="23"/>
      <c r="B232" s="23"/>
      <c r="C232" s="23"/>
    </row>
    <row r="233">
      <c r="A233" s="23"/>
      <c r="B233" s="23"/>
      <c r="C233" s="23"/>
    </row>
    <row r="234">
      <c r="A234" s="23"/>
      <c r="B234" s="23"/>
      <c r="C234" s="23"/>
    </row>
    <row r="235">
      <c r="A235" s="23"/>
      <c r="B235" s="23"/>
      <c r="C235" s="23"/>
    </row>
    <row r="236">
      <c r="A236" s="23"/>
      <c r="B236" s="23"/>
      <c r="C236" s="23"/>
    </row>
    <row r="237">
      <c r="A237" s="23"/>
      <c r="B237" s="23"/>
      <c r="C237" s="23"/>
    </row>
    <row r="238">
      <c r="A238" s="23"/>
      <c r="B238" s="23"/>
      <c r="C238" s="23"/>
    </row>
    <row r="239">
      <c r="A239" s="23"/>
      <c r="B239" s="23"/>
      <c r="C239" s="23"/>
    </row>
    <row r="240">
      <c r="A240" s="23"/>
      <c r="B240" s="23"/>
      <c r="C240" s="23"/>
    </row>
    <row r="241">
      <c r="A241" s="23"/>
      <c r="B241" s="23"/>
      <c r="C241" s="23"/>
    </row>
    <row r="242">
      <c r="A242" s="23"/>
      <c r="B242" s="23"/>
      <c r="C242" s="23"/>
    </row>
    <row r="243">
      <c r="A243" s="23"/>
      <c r="B243" s="23"/>
      <c r="C243" s="23"/>
    </row>
    <row r="244">
      <c r="A244" s="23"/>
      <c r="B244" s="23"/>
      <c r="C244" s="23"/>
    </row>
    <row r="245">
      <c r="A245" s="23"/>
      <c r="B245" s="23"/>
      <c r="C245" s="23"/>
    </row>
    <row r="246">
      <c r="A246" s="23"/>
      <c r="B246" s="23"/>
      <c r="C246" s="23"/>
    </row>
    <row r="247">
      <c r="A247" s="23"/>
      <c r="B247" s="23"/>
      <c r="C247" s="23"/>
    </row>
    <row r="248">
      <c r="A248" s="23"/>
      <c r="B248" s="23"/>
      <c r="C248" s="23"/>
    </row>
    <row r="249">
      <c r="A249" s="23"/>
      <c r="B249" s="23"/>
      <c r="C249" s="23"/>
    </row>
    <row r="250">
      <c r="A250" s="23"/>
      <c r="B250" s="23"/>
      <c r="C250" s="23"/>
    </row>
    <row r="251">
      <c r="A251" s="23"/>
      <c r="B251" s="23"/>
      <c r="C251" s="23"/>
    </row>
    <row r="252">
      <c r="A252" s="23"/>
      <c r="B252" s="23"/>
      <c r="C252" s="23"/>
    </row>
    <row r="253">
      <c r="A253" s="23"/>
      <c r="B253" s="23"/>
      <c r="C253" s="23"/>
    </row>
    <row r="254">
      <c r="A254" s="23"/>
      <c r="B254" s="23"/>
      <c r="C254" s="23"/>
    </row>
    <row r="255">
      <c r="A255" s="23"/>
      <c r="B255" s="23"/>
      <c r="C255" s="23"/>
    </row>
    <row r="256">
      <c r="A256" s="23"/>
      <c r="B256" s="23"/>
      <c r="C256" s="23"/>
    </row>
    <row r="257">
      <c r="A257" s="23"/>
      <c r="B257" s="23"/>
      <c r="C257" s="23"/>
    </row>
    <row r="258">
      <c r="A258" s="23"/>
      <c r="B258" s="23"/>
      <c r="C258" s="23"/>
    </row>
    <row r="259">
      <c r="A259" s="23"/>
      <c r="B259" s="23"/>
      <c r="C259" s="23"/>
    </row>
    <row r="260">
      <c r="A260" s="23"/>
      <c r="B260" s="23"/>
      <c r="C260" s="23"/>
    </row>
    <row r="261">
      <c r="A261" s="23"/>
      <c r="B261" s="23"/>
      <c r="C261" s="23"/>
    </row>
    <row r="262">
      <c r="A262" s="23"/>
      <c r="B262" s="23"/>
      <c r="C262" s="23"/>
    </row>
    <row r="263">
      <c r="A263" s="23"/>
      <c r="B263" s="23"/>
      <c r="C263" s="23"/>
    </row>
    <row r="264">
      <c r="A264" s="23"/>
      <c r="B264" s="23"/>
      <c r="C264" s="23"/>
    </row>
    <row r="265">
      <c r="A265" s="23"/>
      <c r="B265" s="23"/>
      <c r="C265" s="23"/>
    </row>
    <row r="266">
      <c r="A266" s="23"/>
      <c r="B266" s="23"/>
      <c r="C266" s="23"/>
    </row>
    <row r="267">
      <c r="A267" s="23"/>
      <c r="B267" s="23"/>
      <c r="C267" s="23"/>
    </row>
    <row r="268">
      <c r="A268" s="23"/>
      <c r="B268" s="23"/>
      <c r="C268" s="23"/>
    </row>
    <row r="269">
      <c r="A269" s="23"/>
      <c r="B269" s="23"/>
      <c r="C269" s="23"/>
    </row>
    <row r="270">
      <c r="A270" s="23"/>
      <c r="B270" s="23"/>
      <c r="C270" s="23"/>
    </row>
    <row r="271">
      <c r="A271" s="23"/>
      <c r="B271" s="23"/>
      <c r="C271" s="23"/>
    </row>
    <row r="272">
      <c r="A272" s="23"/>
      <c r="B272" s="23"/>
      <c r="C272" s="23"/>
    </row>
    <row r="273">
      <c r="A273" s="23"/>
      <c r="B273" s="23"/>
      <c r="C273" s="23"/>
    </row>
    <row r="274">
      <c r="A274" s="23"/>
      <c r="B274" s="23"/>
      <c r="C274" s="23"/>
    </row>
    <row r="275">
      <c r="A275" s="23"/>
      <c r="B275" s="23"/>
      <c r="C275" s="23"/>
    </row>
    <row r="276">
      <c r="A276" s="23"/>
      <c r="B276" s="23"/>
      <c r="C276" s="23"/>
    </row>
    <row r="277">
      <c r="A277" s="23"/>
      <c r="B277" s="23"/>
      <c r="C277" s="23"/>
    </row>
    <row r="278">
      <c r="A278" s="23"/>
      <c r="B278" s="23"/>
      <c r="C278" s="23"/>
    </row>
    <row r="279">
      <c r="A279" s="23"/>
      <c r="B279" s="23"/>
      <c r="C279" s="23"/>
    </row>
    <row r="280">
      <c r="A280" s="23"/>
      <c r="B280" s="23"/>
      <c r="C280" s="23"/>
    </row>
    <row r="281">
      <c r="A281" s="23"/>
      <c r="B281" s="23"/>
      <c r="C281" s="23"/>
    </row>
    <row r="282">
      <c r="A282" s="23"/>
      <c r="B282" s="23"/>
      <c r="C282" s="23"/>
    </row>
    <row r="283">
      <c r="A283" s="23"/>
      <c r="B283" s="23"/>
      <c r="C283" s="23"/>
    </row>
    <row r="284">
      <c r="A284" s="23"/>
      <c r="B284" s="23"/>
      <c r="C284" s="23"/>
    </row>
    <row r="285">
      <c r="A285" s="23"/>
      <c r="B285" s="23"/>
      <c r="C285" s="23"/>
    </row>
    <row r="286">
      <c r="A286" s="23"/>
      <c r="B286" s="23"/>
      <c r="C286" s="23"/>
    </row>
    <row r="287">
      <c r="A287" s="23"/>
      <c r="B287" s="23"/>
      <c r="C287" s="23"/>
    </row>
    <row r="288">
      <c r="A288" s="23"/>
      <c r="B288" s="23"/>
      <c r="C288" s="23"/>
    </row>
    <row r="289">
      <c r="A289" s="23"/>
      <c r="B289" s="23"/>
      <c r="C289" s="23"/>
    </row>
    <row r="290">
      <c r="A290" s="23"/>
      <c r="B290" s="23"/>
      <c r="C290" s="23"/>
    </row>
    <row r="291">
      <c r="A291" s="23"/>
      <c r="B291" s="23"/>
      <c r="C291" s="23"/>
    </row>
    <row r="292">
      <c r="A292" s="23"/>
      <c r="B292" s="23"/>
      <c r="C292" s="23"/>
    </row>
    <row r="293">
      <c r="A293" s="23"/>
      <c r="B293" s="23"/>
      <c r="C293" s="23"/>
    </row>
    <row r="294">
      <c r="A294" s="23"/>
      <c r="B294" s="23"/>
      <c r="C294" s="23"/>
    </row>
    <row r="295">
      <c r="A295" s="23"/>
      <c r="B295" s="23"/>
      <c r="C295" s="23"/>
    </row>
    <row r="296">
      <c r="A296" s="23"/>
      <c r="B296" s="23"/>
      <c r="C296" s="23"/>
    </row>
    <row r="297">
      <c r="A297" s="23"/>
      <c r="B297" s="23"/>
      <c r="C297" s="23"/>
    </row>
    <row r="298">
      <c r="A298" s="23"/>
      <c r="B298" s="23"/>
      <c r="C298" s="23"/>
    </row>
    <row r="299">
      <c r="A299" s="23"/>
      <c r="B299" s="23"/>
      <c r="C299" s="23"/>
    </row>
    <row r="300">
      <c r="A300" s="23"/>
      <c r="B300" s="23"/>
      <c r="C300" s="23"/>
    </row>
    <row r="301">
      <c r="A301" s="23"/>
      <c r="B301" s="23"/>
      <c r="C301" s="23"/>
    </row>
    <row r="302">
      <c r="A302" s="23"/>
      <c r="B302" s="23"/>
      <c r="C302" s="23"/>
    </row>
    <row r="303">
      <c r="A303" s="23"/>
      <c r="B303" s="23"/>
      <c r="C303" s="23"/>
    </row>
    <row r="304">
      <c r="A304" s="23"/>
      <c r="B304" s="23"/>
      <c r="C304" s="23"/>
    </row>
    <row r="305">
      <c r="A305" s="23"/>
      <c r="B305" s="23"/>
      <c r="C305" s="23"/>
    </row>
    <row r="306">
      <c r="A306" s="23"/>
      <c r="B306" s="23"/>
      <c r="C306" s="23"/>
    </row>
    <row r="307">
      <c r="A307" s="23"/>
      <c r="B307" s="23"/>
      <c r="C307" s="23"/>
    </row>
    <row r="308">
      <c r="A308" s="23"/>
      <c r="B308" s="23"/>
      <c r="C308" s="23"/>
    </row>
    <row r="309">
      <c r="A309" s="23"/>
      <c r="B309" s="23"/>
      <c r="C309" s="23"/>
    </row>
    <row r="310">
      <c r="A310" s="23"/>
      <c r="B310" s="23"/>
      <c r="C310" s="23"/>
    </row>
    <row r="311">
      <c r="A311" s="23"/>
      <c r="B311" s="23"/>
      <c r="C311" s="23"/>
    </row>
    <row r="312">
      <c r="A312" s="23"/>
      <c r="B312" s="23"/>
      <c r="C312" s="23"/>
    </row>
    <row r="313">
      <c r="A313" s="23"/>
      <c r="B313" s="23"/>
      <c r="C313" s="23"/>
    </row>
    <row r="314">
      <c r="A314" s="23"/>
      <c r="B314" s="23"/>
      <c r="C314" s="23"/>
    </row>
    <row r="315">
      <c r="A315" s="23"/>
      <c r="B315" s="23"/>
      <c r="C315" s="23"/>
    </row>
    <row r="316">
      <c r="A316" s="23"/>
      <c r="B316" s="23"/>
      <c r="C316" s="23"/>
    </row>
    <row r="317">
      <c r="A317" s="23"/>
      <c r="B317" s="23"/>
      <c r="C317" s="23"/>
    </row>
    <row r="318">
      <c r="A318" s="23"/>
      <c r="B318" s="23"/>
      <c r="C318" s="23"/>
    </row>
    <row r="319">
      <c r="A319" s="23"/>
      <c r="B319" s="23"/>
      <c r="C319" s="23"/>
    </row>
    <row r="320">
      <c r="A320" s="23"/>
      <c r="B320" s="23"/>
      <c r="C320" s="23"/>
    </row>
    <row r="321">
      <c r="A321" s="23"/>
      <c r="B321" s="23"/>
      <c r="C321" s="23"/>
    </row>
    <row r="322">
      <c r="A322" s="23"/>
      <c r="B322" s="23"/>
      <c r="C322" s="23"/>
    </row>
    <row r="323">
      <c r="A323" s="23"/>
      <c r="B323" s="23"/>
      <c r="C323" s="23"/>
    </row>
    <row r="324">
      <c r="A324" s="23"/>
      <c r="B324" s="23"/>
      <c r="C324" s="23"/>
    </row>
    <row r="325">
      <c r="A325" s="23"/>
      <c r="B325" s="23"/>
      <c r="C325" s="23"/>
    </row>
    <row r="326">
      <c r="A326" s="23"/>
      <c r="B326" s="23"/>
      <c r="C326" s="23"/>
    </row>
    <row r="327">
      <c r="A327" s="23"/>
      <c r="B327" s="23"/>
      <c r="C327" s="23"/>
    </row>
    <row r="328">
      <c r="A328" s="23"/>
      <c r="B328" s="23"/>
      <c r="C328" s="23"/>
    </row>
    <row r="329">
      <c r="A329" s="23"/>
      <c r="B329" s="23"/>
      <c r="C329" s="23"/>
    </row>
    <row r="330">
      <c r="A330" s="23"/>
      <c r="B330" s="23"/>
      <c r="C330" s="23"/>
    </row>
    <row r="331">
      <c r="A331" s="23"/>
      <c r="B331" s="23"/>
      <c r="C331" s="23"/>
    </row>
    <row r="332">
      <c r="A332" s="23"/>
      <c r="B332" s="23"/>
      <c r="C332" s="23"/>
    </row>
    <row r="333">
      <c r="A333" s="23"/>
      <c r="B333" s="23"/>
      <c r="C333" s="23"/>
    </row>
    <row r="334">
      <c r="A334" s="23"/>
      <c r="B334" s="23"/>
      <c r="C334" s="23"/>
    </row>
    <row r="335">
      <c r="A335" s="23"/>
      <c r="B335" s="23"/>
      <c r="C335" s="23"/>
    </row>
    <row r="336">
      <c r="A336" s="23"/>
      <c r="B336" s="23"/>
      <c r="C336" s="23"/>
    </row>
    <row r="337">
      <c r="A337" s="23"/>
      <c r="B337" s="23"/>
      <c r="C337" s="23"/>
    </row>
    <row r="338">
      <c r="A338" s="23"/>
      <c r="B338" s="23"/>
      <c r="C338" s="23"/>
    </row>
    <row r="339">
      <c r="A339" s="23"/>
      <c r="B339" s="23"/>
      <c r="C339" s="23"/>
    </row>
    <row r="340">
      <c r="A340" s="23"/>
      <c r="B340" s="23"/>
      <c r="C340" s="23"/>
    </row>
    <row r="341">
      <c r="A341" s="23"/>
      <c r="B341" s="23"/>
      <c r="C341" s="23"/>
    </row>
    <row r="342">
      <c r="A342" s="23"/>
      <c r="B342" s="23"/>
      <c r="C342" s="23"/>
    </row>
    <row r="343">
      <c r="A343" s="23"/>
      <c r="B343" s="23"/>
      <c r="C343" s="23"/>
    </row>
    <row r="344">
      <c r="A344" s="23"/>
      <c r="B344" s="23"/>
      <c r="C344" s="23"/>
    </row>
    <row r="345">
      <c r="A345" s="23"/>
      <c r="B345" s="23"/>
      <c r="C345" s="23"/>
    </row>
    <row r="346">
      <c r="A346" s="23"/>
      <c r="B346" s="23"/>
      <c r="C346" s="23"/>
    </row>
    <row r="347">
      <c r="A347" s="23"/>
      <c r="B347" s="23"/>
      <c r="C347" s="23"/>
    </row>
    <row r="348">
      <c r="A348" s="23"/>
      <c r="B348" s="23"/>
      <c r="C348" s="23"/>
    </row>
    <row r="349">
      <c r="A349" s="23"/>
      <c r="B349" s="23"/>
      <c r="C349" s="23"/>
    </row>
    <row r="350">
      <c r="A350" s="23"/>
      <c r="B350" s="23"/>
      <c r="C350" s="23"/>
    </row>
    <row r="351">
      <c r="A351" s="23"/>
      <c r="B351" s="23"/>
      <c r="C351" s="23"/>
    </row>
    <row r="352">
      <c r="A352" s="23"/>
      <c r="B352" s="23"/>
      <c r="C352" s="23"/>
    </row>
    <row r="353">
      <c r="A353" s="23"/>
      <c r="B353" s="23"/>
      <c r="C353" s="23"/>
    </row>
    <row r="354">
      <c r="A354" s="23"/>
      <c r="B354" s="23"/>
      <c r="C354" s="23"/>
    </row>
    <row r="355">
      <c r="A355" s="23"/>
      <c r="B355" s="23"/>
      <c r="C355" s="23"/>
    </row>
    <row r="356">
      <c r="A356" s="23"/>
      <c r="B356" s="23"/>
      <c r="C356" s="23"/>
    </row>
    <row r="357">
      <c r="A357" s="23"/>
      <c r="B357" s="23"/>
      <c r="C357" s="23"/>
    </row>
    <row r="358">
      <c r="A358" s="23"/>
      <c r="B358" s="23"/>
      <c r="C358" s="23"/>
    </row>
    <row r="359">
      <c r="A359" s="23"/>
      <c r="B359" s="23"/>
      <c r="C359" s="23"/>
    </row>
    <row r="360">
      <c r="A360" s="23"/>
      <c r="B360" s="23"/>
      <c r="C360" s="23"/>
    </row>
    <row r="361">
      <c r="A361" s="23"/>
      <c r="B361" s="23"/>
      <c r="C361" s="23"/>
    </row>
    <row r="362">
      <c r="A362" s="23"/>
      <c r="B362" s="23"/>
      <c r="C362" s="23"/>
    </row>
    <row r="363">
      <c r="A363" s="23"/>
      <c r="B363" s="23"/>
      <c r="C363" s="23"/>
    </row>
    <row r="364">
      <c r="A364" s="23"/>
      <c r="B364" s="23"/>
      <c r="C364" s="23"/>
    </row>
    <row r="365">
      <c r="A365" s="23"/>
      <c r="B365" s="23"/>
      <c r="C365" s="23"/>
    </row>
    <row r="366">
      <c r="A366" s="23"/>
      <c r="B366" s="23"/>
      <c r="C366" s="23"/>
    </row>
    <row r="367">
      <c r="A367" s="23"/>
      <c r="B367" s="23"/>
      <c r="C367" s="23"/>
    </row>
    <row r="368">
      <c r="A368" s="23"/>
      <c r="B368" s="23"/>
      <c r="C368" s="23"/>
    </row>
    <row r="369">
      <c r="A369" s="23"/>
      <c r="B369" s="23"/>
      <c r="C369" s="23"/>
    </row>
    <row r="370">
      <c r="A370" s="23"/>
      <c r="B370" s="23"/>
      <c r="C370" s="23"/>
    </row>
    <row r="371">
      <c r="A371" s="23"/>
      <c r="B371" s="23"/>
      <c r="C371" s="23"/>
    </row>
    <row r="372">
      <c r="A372" s="23"/>
      <c r="B372" s="23"/>
      <c r="C372" s="23"/>
    </row>
    <row r="373">
      <c r="A373" s="23"/>
      <c r="B373" s="23"/>
      <c r="C373" s="23"/>
    </row>
    <row r="374">
      <c r="A374" s="23"/>
      <c r="B374" s="23"/>
      <c r="C374" s="23"/>
    </row>
    <row r="375">
      <c r="A375" s="23"/>
      <c r="B375" s="23"/>
      <c r="C375" s="23"/>
    </row>
    <row r="376">
      <c r="A376" s="23"/>
      <c r="B376" s="23"/>
      <c r="C376" s="23"/>
    </row>
    <row r="377">
      <c r="A377" s="23"/>
      <c r="B377" s="23"/>
      <c r="C377" s="23"/>
    </row>
    <row r="378">
      <c r="A378" s="23"/>
      <c r="B378" s="23"/>
      <c r="C378" s="23"/>
    </row>
    <row r="379">
      <c r="A379" s="23"/>
      <c r="B379" s="23"/>
      <c r="C379" s="23"/>
    </row>
    <row r="380">
      <c r="A380" s="23"/>
      <c r="B380" s="23"/>
      <c r="C380" s="23"/>
    </row>
    <row r="381">
      <c r="A381" s="23"/>
      <c r="B381" s="23"/>
      <c r="C381" s="23"/>
    </row>
    <row r="382">
      <c r="A382" s="23"/>
      <c r="B382" s="23"/>
      <c r="C382" s="23"/>
    </row>
    <row r="383">
      <c r="A383" s="23"/>
      <c r="B383" s="23"/>
      <c r="C383" s="23"/>
    </row>
    <row r="384">
      <c r="A384" s="23"/>
      <c r="B384" s="23"/>
      <c r="C384" s="23"/>
    </row>
    <row r="385">
      <c r="A385" s="23"/>
      <c r="B385" s="23"/>
      <c r="C385" s="23"/>
    </row>
    <row r="386">
      <c r="A386" s="23"/>
      <c r="B386" s="23"/>
      <c r="C386" s="23"/>
    </row>
    <row r="387">
      <c r="A387" s="23"/>
      <c r="B387" s="23"/>
      <c r="C387" s="23"/>
    </row>
    <row r="388">
      <c r="A388" s="23"/>
      <c r="B388" s="23"/>
      <c r="C388" s="23"/>
    </row>
    <row r="389">
      <c r="A389" s="23"/>
      <c r="B389" s="23"/>
      <c r="C389" s="23"/>
    </row>
    <row r="390">
      <c r="A390" s="23"/>
      <c r="B390" s="23"/>
      <c r="C390" s="23"/>
    </row>
    <row r="391">
      <c r="A391" s="23"/>
      <c r="B391" s="23"/>
      <c r="C391" s="23"/>
    </row>
    <row r="392">
      <c r="A392" s="23"/>
      <c r="B392" s="23"/>
      <c r="C392" s="23"/>
    </row>
    <row r="393">
      <c r="A393" s="23"/>
      <c r="B393" s="23"/>
      <c r="C393" s="23"/>
    </row>
    <row r="394">
      <c r="A394" s="23"/>
      <c r="B394" s="23"/>
      <c r="C394" s="23"/>
    </row>
    <row r="395">
      <c r="A395" s="23"/>
      <c r="B395" s="23"/>
      <c r="C395" s="23"/>
    </row>
    <row r="396">
      <c r="A396" s="23"/>
      <c r="B396" s="23"/>
      <c r="C396" s="23"/>
    </row>
    <row r="397">
      <c r="A397" s="23"/>
      <c r="B397" s="23"/>
      <c r="C397" s="23"/>
    </row>
    <row r="398">
      <c r="A398" s="23"/>
      <c r="B398" s="23"/>
      <c r="C398" s="23"/>
    </row>
    <row r="399">
      <c r="A399" s="23"/>
      <c r="B399" s="23"/>
      <c r="C399" s="23"/>
    </row>
    <row r="400">
      <c r="A400" s="23"/>
      <c r="B400" s="23"/>
      <c r="C400" s="23"/>
    </row>
    <row r="401">
      <c r="A401" s="23"/>
      <c r="B401" s="23"/>
      <c r="C401" s="23"/>
    </row>
    <row r="402">
      <c r="A402" s="23"/>
      <c r="B402" s="23"/>
      <c r="C402" s="23"/>
    </row>
    <row r="403">
      <c r="A403" s="23"/>
      <c r="B403" s="23"/>
      <c r="C403" s="23"/>
    </row>
    <row r="404">
      <c r="A404" s="23"/>
      <c r="B404" s="23"/>
      <c r="C404" s="23"/>
    </row>
    <row r="405">
      <c r="A405" s="23"/>
      <c r="B405" s="23"/>
      <c r="C405" s="23"/>
    </row>
    <row r="406">
      <c r="A406" s="23"/>
      <c r="B406" s="23"/>
      <c r="C406" s="23"/>
    </row>
    <row r="407">
      <c r="A407" s="23"/>
      <c r="B407" s="23"/>
      <c r="C407" s="23"/>
    </row>
    <row r="408">
      <c r="A408" s="23"/>
      <c r="B408" s="23"/>
      <c r="C408" s="23"/>
    </row>
    <row r="409">
      <c r="A409" s="23"/>
      <c r="B409" s="23"/>
      <c r="C409" s="23"/>
    </row>
    <row r="410">
      <c r="A410" s="23"/>
      <c r="B410" s="23"/>
      <c r="C410" s="23"/>
    </row>
    <row r="411">
      <c r="A411" s="23"/>
      <c r="B411" s="23"/>
      <c r="C411" s="23"/>
    </row>
    <row r="412">
      <c r="A412" s="23"/>
      <c r="B412" s="23"/>
      <c r="C412" s="23"/>
    </row>
    <row r="413">
      <c r="A413" s="23"/>
      <c r="B413" s="23"/>
      <c r="C413" s="23"/>
    </row>
    <row r="414">
      <c r="A414" s="23"/>
      <c r="B414" s="23"/>
      <c r="C414" s="23"/>
    </row>
    <row r="415">
      <c r="A415" s="23"/>
      <c r="B415" s="23"/>
      <c r="C415" s="23"/>
    </row>
    <row r="416">
      <c r="A416" s="23"/>
      <c r="B416" s="23"/>
      <c r="C416" s="23"/>
    </row>
    <row r="417">
      <c r="A417" s="23"/>
      <c r="B417" s="23"/>
      <c r="C417" s="23"/>
    </row>
    <row r="418">
      <c r="A418" s="23"/>
      <c r="B418" s="23"/>
      <c r="C418" s="23"/>
    </row>
    <row r="419">
      <c r="A419" s="23"/>
      <c r="B419" s="23"/>
      <c r="C419" s="23"/>
    </row>
    <row r="420">
      <c r="A420" s="23"/>
      <c r="B420" s="23"/>
      <c r="C420" s="23"/>
    </row>
    <row r="421">
      <c r="A421" s="23"/>
      <c r="B421" s="23"/>
      <c r="C421" s="23"/>
    </row>
    <row r="422">
      <c r="A422" s="23"/>
      <c r="B422" s="23"/>
      <c r="C422" s="23"/>
    </row>
    <row r="423">
      <c r="A423" s="23"/>
      <c r="B423" s="23"/>
      <c r="C423" s="23"/>
    </row>
    <row r="424">
      <c r="A424" s="23"/>
      <c r="B424" s="23"/>
      <c r="C424" s="23"/>
    </row>
    <row r="425">
      <c r="A425" s="23"/>
      <c r="B425" s="23"/>
      <c r="C425" s="23"/>
    </row>
    <row r="426">
      <c r="A426" s="23"/>
      <c r="B426" s="23"/>
      <c r="C426" s="23"/>
    </row>
    <row r="427">
      <c r="A427" s="23"/>
      <c r="B427" s="23"/>
      <c r="C427" s="23"/>
    </row>
    <row r="428">
      <c r="A428" s="23"/>
      <c r="B428" s="23"/>
      <c r="C428" s="23"/>
    </row>
    <row r="429">
      <c r="A429" s="23"/>
      <c r="B429" s="23"/>
      <c r="C429" s="23"/>
    </row>
    <row r="430">
      <c r="A430" s="23"/>
      <c r="B430" s="23"/>
      <c r="C430" s="23"/>
    </row>
    <row r="431">
      <c r="A431" s="23"/>
      <c r="B431" s="23"/>
      <c r="C431" s="23"/>
    </row>
    <row r="432">
      <c r="A432" s="23"/>
      <c r="B432" s="23"/>
      <c r="C432" s="23"/>
    </row>
    <row r="433">
      <c r="A433" s="23"/>
      <c r="B433" s="23"/>
      <c r="C433" s="23"/>
    </row>
    <row r="434">
      <c r="A434" s="23"/>
      <c r="B434" s="23"/>
      <c r="C434" s="23"/>
    </row>
    <row r="435">
      <c r="A435" s="23"/>
      <c r="B435" s="23"/>
      <c r="C435" s="23"/>
    </row>
    <row r="436">
      <c r="A436" s="23"/>
      <c r="B436" s="23"/>
      <c r="C436" s="23"/>
    </row>
    <row r="437">
      <c r="A437" s="23"/>
      <c r="B437" s="23"/>
      <c r="C437" s="23"/>
    </row>
    <row r="438">
      <c r="A438" s="23"/>
      <c r="B438" s="23"/>
      <c r="C438" s="23"/>
    </row>
    <row r="439">
      <c r="A439" s="23"/>
      <c r="B439" s="23"/>
      <c r="C439" s="23"/>
    </row>
    <row r="440">
      <c r="A440" s="23"/>
      <c r="B440" s="23"/>
      <c r="C440" s="23"/>
    </row>
    <row r="441">
      <c r="A441" s="23"/>
      <c r="B441" s="23"/>
      <c r="C441" s="23"/>
    </row>
    <row r="442">
      <c r="A442" s="23"/>
      <c r="B442" s="23"/>
      <c r="C442" s="23"/>
    </row>
    <row r="443">
      <c r="A443" s="23"/>
      <c r="B443" s="23"/>
      <c r="C443" s="23"/>
    </row>
    <row r="444">
      <c r="A444" s="23"/>
      <c r="B444" s="23"/>
      <c r="C444" s="23"/>
    </row>
    <row r="445">
      <c r="A445" s="23"/>
      <c r="B445" s="23"/>
      <c r="C445" s="23"/>
    </row>
    <row r="446">
      <c r="A446" s="23"/>
      <c r="B446" s="23"/>
      <c r="C446" s="23"/>
    </row>
    <row r="447">
      <c r="A447" s="23"/>
      <c r="B447" s="23"/>
      <c r="C447" s="23"/>
    </row>
    <row r="448">
      <c r="A448" s="23"/>
      <c r="B448" s="23"/>
      <c r="C448" s="23"/>
    </row>
    <row r="449">
      <c r="A449" s="23"/>
      <c r="B449" s="23"/>
      <c r="C449" s="23"/>
    </row>
    <row r="450">
      <c r="A450" s="23"/>
      <c r="B450" s="23"/>
      <c r="C450" s="23"/>
    </row>
    <row r="451">
      <c r="A451" s="23"/>
      <c r="B451" s="23"/>
      <c r="C451" s="23"/>
    </row>
    <row r="452">
      <c r="A452" s="23"/>
      <c r="B452" s="23"/>
      <c r="C452" s="23"/>
    </row>
    <row r="453">
      <c r="A453" s="23"/>
      <c r="B453" s="23"/>
      <c r="C453" s="23"/>
    </row>
    <row r="454">
      <c r="A454" s="23"/>
      <c r="B454" s="23"/>
      <c r="C454" s="23"/>
    </row>
    <row r="455">
      <c r="A455" s="23"/>
      <c r="B455" s="23"/>
      <c r="C455" s="23"/>
    </row>
    <row r="456">
      <c r="A456" s="23"/>
      <c r="B456" s="23"/>
      <c r="C456" s="23"/>
    </row>
    <row r="457">
      <c r="A457" s="23"/>
      <c r="B457" s="23"/>
      <c r="C457" s="23"/>
    </row>
    <row r="458">
      <c r="A458" s="23"/>
      <c r="B458" s="23"/>
      <c r="C458" s="23"/>
    </row>
    <row r="459">
      <c r="A459" s="23"/>
      <c r="B459" s="23"/>
      <c r="C459" s="23"/>
    </row>
    <row r="460">
      <c r="A460" s="23"/>
      <c r="B460" s="23"/>
      <c r="C460" s="23"/>
    </row>
    <row r="461">
      <c r="A461" s="23"/>
      <c r="B461" s="23"/>
      <c r="C461" s="23"/>
    </row>
    <row r="462">
      <c r="A462" s="23"/>
      <c r="B462" s="23"/>
      <c r="C462" s="23"/>
    </row>
    <row r="463">
      <c r="A463" s="23"/>
      <c r="B463" s="23"/>
      <c r="C463" s="23"/>
    </row>
    <row r="464">
      <c r="A464" s="23"/>
      <c r="B464" s="23"/>
      <c r="C464" s="23"/>
    </row>
    <row r="465">
      <c r="A465" s="23"/>
      <c r="B465" s="23"/>
      <c r="C465" s="23"/>
    </row>
    <row r="466">
      <c r="A466" s="23"/>
      <c r="B466" s="23"/>
      <c r="C466" s="23"/>
    </row>
    <row r="467">
      <c r="A467" s="23"/>
      <c r="B467" s="23"/>
      <c r="C467" s="23"/>
    </row>
    <row r="468">
      <c r="A468" s="23"/>
      <c r="B468" s="23"/>
      <c r="C468" s="23"/>
    </row>
    <row r="469">
      <c r="A469" s="23"/>
      <c r="B469" s="23"/>
      <c r="C469" s="23"/>
    </row>
    <row r="470">
      <c r="A470" s="23"/>
      <c r="B470" s="23"/>
      <c r="C470" s="23"/>
    </row>
    <row r="471">
      <c r="A471" s="23"/>
      <c r="B471" s="23"/>
      <c r="C471" s="23"/>
    </row>
    <row r="472">
      <c r="A472" s="23"/>
      <c r="B472" s="23"/>
      <c r="C472" s="23"/>
    </row>
    <row r="473">
      <c r="A473" s="23"/>
      <c r="B473" s="23"/>
      <c r="C473" s="23"/>
    </row>
    <row r="474">
      <c r="A474" s="23"/>
      <c r="B474" s="23"/>
      <c r="C474" s="23"/>
    </row>
    <row r="475">
      <c r="A475" s="23"/>
      <c r="B475" s="23"/>
      <c r="C475" s="23"/>
    </row>
    <row r="476">
      <c r="A476" s="23"/>
      <c r="B476" s="23"/>
      <c r="C476" s="23"/>
    </row>
    <row r="477">
      <c r="A477" s="23"/>
      <c r="B477" s="23"/>
      <c r="C477" s="23"/>
    </row>
    <row r="478">
      <c r="A478" s="23"/>
      <c r="B478" s="23"/>
      <c r="C478" s="23"/>
    </row>
    <row r="479">
      <c r="A479" s="23"/>
      <c r="B479" s="23"/>
      <c r="C479" s="23"/>
    </row>
    <row r="480">
      <c r="A480" s="23"/>
      <c r="B480" s="23"/>
      <c r="C480" s="23"/>
    </row>
    <row r="481">
      <c r="A481" s="23"/>
      <c r="B481" s="23"/>
      <c r="C481" s="23"/>
    </row>
    <row r="482">
      <c r="A482" s="23"/>
      <c r="B482" s="23"/>
      <c r="C482" s="23"/>
    </row>
    <row r="483">
      <c r="A483" s="23"/>
      <c r="B483" s="23"/>
      <c r="C483" s="23"/>
    </row>
    <row r="484">
      <c r="A484" s="23"/>
      <c r="B484" s="23"/>
      <c r="C484" s="23"/>
    </row>
    <row r="485">
      <c r="A485" s="23"/>
      <c r="B485" s="23"/>
      <c r="C485" s="23"/>
    </row>
    <row r="486">
      <c r="A486" s="23"/>
      <c r="B486" s="23"/>
      <c r="C486" s="23"/>
    </row>
    <row r="487">
      <c r="A487" s="23"/>
      <c r="B487" s="23"/>
      <c r="C487" s="23"/>
    </row>
    <row r="488">
      <c r="A488" s="23"/>
      <c r="B488" s="23"/>
      <c r="C488" s="23"/>
    </row>
    <row r="489">
      <c r="A489" s="23"/>
      <c r="B489" s="23"/>
      <c r="C489" s="23"/>
    </row>
    <row r="490">
      <c r="A490" s="23"/>
      <c r="B490" s="23"/>
      <c r="C490" s="23"/>
    </row>
    <row r="491">
      <c r="A491" s="23"/>
      <c r="B491" s="23"/>
      <c r="C491" s="23"/>
    </row>
    <row r="492">
      <c r="A492" s="23"/>
      <c r="B492" s="23"/>
      <c r="C492" s="23"/>
    </row>
    <row r="493">
      <c r="A493" s="23"/>
      <c r="B493" s="23"/>
      <c r="C493" s="23"/>
    </row>
    <row r="494">
      <c r="A494" s="23"/>
      <c r="B494" s="23"/>
      <c r="C494" s="23"/>
    </row>
    <row r="495">
      <c r="A495" s="23"/>
      <c r="B495" s="23"/>
      <c r="C495" s="23"/>
    </row>
    <row r="496">
      <c r="A496" s="23"/>
      <c r="B496" s="23"/>
      <c r="C496" s="23"/>
    </row>
    <row r="497">
      <c r="A497" s="23"/>
      <c r="B497" s="23"/>
      <c r="C497" s="23"/>
    </row>
    <row r="498">
      <c r="A498" s="23"/>
      <c r="B498" s="23"/>
      <c r="C498" s="23"/>
    </row>
    <row r="499">
      <c r="A499" s="23"/>
      <c r="B499" s="23"/>
      <c r="C499" s="23"/>
    </row>
    <row r="500">
      <c r="A500" s="23"/>
      <c r="B500" s="23"/>
      <c r="C500" s="23"/>
    </row>
    <row r="501">
      <c r="A501" s="23"/>
      <c r="B501" s="23"/>
      <c r="C501" s="23"/>
    </row>
    <row r="502">
      <c r="A502" s="23"/>
      <c r="B502" s="23"/>
      <c r="C502" s="23"/>
    </row>
    <row r="503">
      <c r="A503" s="23"/>
      <c r="B503" s="23"/>
      <c r="C503" s="23"/>
    </row>
    <row r="504">
      <c r="A504" s="23"/>
      <c r="B504" s="23"/>
      <c r="C504" s="23"/>
    </row>
    <row r="505">
      <c r="A505" s="23"/>
      <c r="B505" s="23"/>
      <c r="C505" s="23"/>
    </row>
    <row r="506">
      <c r="A506" s="23"/>
      <c r="B506" s="23"/>
      <c r="C506" s="23"/>
    </row>
    <row r="507">
      <c r="A507" s="23"/>
      <c r="B507" s="23"/>
      <c r="C507" s="23"/>
    </row>
    <row r="508">
      <c r="A508" s="23"/>
      <c r="B508" s="23"/>
      <c r="C508" s="23"/>
    </row>
    <row r="509">
      <c r="A509" s="23"/>
      <c r="B509" s="23"/>
      <c r="C509" s="23"/>
    </row>
    <row r="510">
      <c r="A510" s="23"/>
      <c r="B510" s="23"/>
      <c r="C510" s="23"/>
    </row>
    <row r="511">
      <c r="A511" s="23"/>
      <c r="B511" s="23"/>
      <c r="C511" s="23"/>
    </row>
    <row r="512">
      <c r="A512" s="23"/>
      <c r="B512" s="23"/>
      <c r="C512" s="23"/>
    </row>
    <row r="513">
      <c r="A513" s="23"/>
      <c r="B513" s="23"/>
      <c r="C513" s="23"/>
    </row>
    <row r="514">
      <c r="A514" s="23"/>
      <c r="B514" s="23"/>
      <c r="C514" s="23"/>
    </row>
    <row r="515">
      <c r="A515" s="23"/>
      <c r="B515" s="23"/>
      <c r="C515" s="23"/>
    </row>
    <row r="516">
      <c r="A516" s="23"/>
      <c r="B516" s="23"/>
      <c r="C516" s="23"/>
    </row>
    <row r="517">
      <c r="A517" s="23"/>
      <c r="B517" s="23"/>
      <c r="C517" s="23"/>
    </row>
    <row r="518">
      <c r="A518" s="23"/>
      <c r="B518" s="23"/>
      <c r="C518" s="23"/>
    </row>
    <row r="519">
      <c r="A519" s="23"/>
      <c r="B519" s="23"/>
      <c r="C519" s="23"/>
    </row>
    <row r="520">
      <c r="A520" s="23"/>
      <c r="B520" s="23"/>
      <c r="C520" s="23"/>
    </row>
    <row r="521">
      <c r="A521" s="23"/>
      <c r="B521" s="23"/>
      <c r="C521" s="23"/>
    </row>
    <row r="522">
      <c r="A522" s="23"/>
      <c r="B522" s="23"/>
      <c r="C522" s="23"/>
    </row>
    <row r="523">
      <c r="A523" s="23"/>
      <c r="B523" s="23"/>
      <c r="C523" s="23"/>
    </row>
    <row r="524">
      <c r="A524" s="23"/>
      <c r="B524" s="23"/>
      <c r="C524" s="23"/>
    </row>
    <row r="525">
      <c r="A525" s="23"/>
      <c r="B525" s="23"/>
      <c r="C525" s="23"/>
    </row>
    <row r="526">
      <c r="A526" s="23"/>
      <c r="B526" s="23"/>
      <c r="C526" s="23"/>
    </row>
    <row r="527">
      <c r="A527" s="23"/>
      <c r="B527" s="23"/>
      <c r="C527" s="23"/>
    </row>
    <row r="528">
      <c r="A528" s="23"/>
      <c r="B528" s="23"/>
      <c r="C528" s="23"/>
    </row>
    <row r="529">
      <c r="A529" s="23"/>
      <c r="B529" s="23"/>
      <c r="C529" s="23"/>
    </row>
    <row r="530">
      <c r="A530" s="23"/>
      <c r="B530" s="23"/>
      <c r="C530" s="23"/>
    </row>
    <row r="531">
      <c r="A531" s="23"/>
      <c r="B531" s="23"/>
      <c r="C531" s="23"/>
    </row>
    <row r="532">
      <c r="A532" s="23"/>
      <c r="B532" s="23"/>
      <c r="C532" s="23"/>
    </row>
    <row r="533">
      <c r="A533" s="23"/>
      <c r="B533" s="23"/>
      <c r="C533" s="23"/>
    </row>
    <row r="534">
      <c r="A534" s="23"/>
      <c r="B534" s="23"/>
      <c r="C534" s="23"/>
    </row>
    <row r="535">
      <c r="A535" s="23"/>
      <c r="B535" s="23"/>
      <c r="C535" s="23"/>
    </row>
    <row r="536">
      <c r="A536" s="23"/>
      <c r="B536" s="23"/>
      <c r="C536" s="23"/>
    </row>
    <row r="537">
      <c r="A537" s="23"/>
      <c r="B537" s="23"/>
      <c r="C537" s="23"/>
    </row>
    <row r="538">
      <c r="A538" s="23"/>
      <c r="B538" s="23"/>
      <c r="C538" s="23"/>
    </row>
    <row r="539">
      <c r="A539" s="23"/>
      <c r="B539" s="23"/>
      <c r="C539" s="23"/>
    </row>
    <row r="540">
      <c r="A540" s="23"/>
      <c r="B540" s="23"/>
      <c r="C540" s="23"/>
    </row>
    <row r="541">
      <c r="A541" s="23"/>
      <c r="B541" s="23"/>
      <c r="C541" s="23"/>
    </row>
    <row r="542">
      <c r="A542" s="23"/>
      <c r="B542" s="23"/>
      <c r="C542" s="23"/>
    </row>
    <row r="543">
      <c r="A543" s="23"/>
      <c r="B543" s="23"/>
      <c r="C543" s="23"/>
    </row>
    <row r="544">
      <c r="A544" s="23"/>
      <c r="B544" s="23"/>
      <c r="C544" s="23"/>
    </row>
    <row r="545">
      <c r="A545" s="23"/>
      <c r="B545" s="23"/>
      <c r="C545" s="23"/>
    </row>
    <row r="546">
      <c r="A546" s="23"/>
      <c r="B546" s="23"/>
      <c r="C546" s="23"/>
    </row>
    <row r="547">
      <c r="A547" s="23"/>
      <c r="B547" s="23"/>
      <c r="C547" s="23"/>
    </row>
    <row r="548">
      <c r="A548" s="23"/>
      <c r="B548" s="23"/>
      <c r="C548" s="23"/>
    </row>
    <row r="549">
      <c r="A549" s="23"/>
      <c r="B549" s="23"/>
      <c r="C549" s="23"/>
    </row>
    <row r="550">
      <c r="A550" s="23"/>
      <c r="B550" s="23"/>
      <c r="C550" s="23"/>
    </row>
    <row r="551">
      <c r="A551" s="23"/>
      <c r="B551" s="23"/>
      <c r="C551" s="23"/>
    </row>
    <row r="552">
      <c r="A552" s="23"/>
      <c r="B552" s="23"/>
      <c r="C552" s="23"/>
    </row>
    <row r="553">
      <c r="A553" s="23"/>
      <c r="B553" s="23"/>
      <c r="C553" s="23"/>
    </row>
    <row r="554">
      <c r="A554" s="23"/>
      <c r="B554" s="23"/>
      <c r="C554" s="23"/>
    </row>
    <row r="555">
      <c r="A555" s="23"/>
      <c r="B555" s="23"/>
      <c r="C555" s="23"/>
    </row>
    <row r="556">
      <c r="A556" s="23"/>
      <c r="B556" s="23"/>
      <c r="C556" s="23"/>
    </row>
    <row r="557">
      <c r="A557" s="23"/>
      <c r="B557" s="23"/>
      <c r="C557" s="23"/>
    </row>
    <row r="558">
      <c r="A558" s="23"/>
      <c r="B558" s="23"/>
      <c r="C558" s="23"/>
    </row>
    <row r="559">
      <c r="A559" s="23"/>
      <c r="B559" s="23"/>
      <c r="C559" s="23"/>
    </row>
    <row r="560">
      <c r="A560" s="23"/>
      <c r="B560" s="23"/>
      <c r="C560" s="23"/>
    </row>
    <row r="561">
      <c r="A561" s="23"/>
      <c r="B561" s="23"/>
      <c r="C561" s="23"/>
    </row>
    <row r="562">
      <c r="A562" s="23"/>
      <c r="B562" s="23"/>
      <c r="C562" s="23"/>
    </row>
    <row r="563">
      <c r="A563" s="23"/>
      <c r="B563" s="23"/>
      <c r="C563" s="23"/>
    </row>
    <row r="564">
      <c r="A564" s="23"/>
      <c r="B564" s="23"/>
      <c r="C564" s="23"/>
    </row>
    <row r="565">
      <c r="A565" s="23"/>
      <c r="B565" s="23"/>
      <c r="C565" s="23"/>
    </row>
    <row r="566">
      <c r="A566" s="23"/>
      <c r="B566" s="23"/>
      <c r="C566" s="23"/>
    </row>
    <row r="567">
      <c r="A567" s="23"/>
      <c r="B567" s="23"/>
      <c r="C567" s="23"/>
    </row>
    <row r="568">
      <c r="A568" s="23"/>
      <c r="B568" s="23"/>
      <c r="C568" s="23"/>
    </row>
    <row r="569">
      <c r="A569" s="23"/>
      <c r="B569" s="23"/>
      <c r="C569" s="23"/>
    </row>
    <row r="570">
      <c r="A570" s="23"/>
      <c r="B570" s="23"/>
      <c r="C570" s="23"/>
    </row>
    <row r="571">
      <c r="A571" s="23"/>
      <c r="B571" s="23"/>
      <c r="C571" s="23"/>
    </row>
    <row r="572">
      <c r="A572" s="23"/>
      <c r="B572" s="23"/>
      <c r="C572" s="23"/>
    </row>
    <row r="573">
      <c r="A573" s="23"/>
      <c r="B573" s="23"/>
      <c r="C573" s="23"/>
    </row>
    <row r="574">
      <c r="A574" s="23"/>
      <c r="B574" s="23"/>
      <c r="C574" s="23"/>
    </row>
    <row r="575">
      <c r="A575" s="23"/>
      <c r="B575" s="23"/>
      <c r="C575" s="23"/>
    </row>
    <row r="576">
      <c r="A576" s="23"/>
      <c r="B576" s="23"/>
      <c r="C576" s="23"/>
    </row>
    <row r="577">
      <c r="A577" s="23"/>
      <c r="B577" s="23"/>
      <c r="C577" s="23"/>
    </row>
    <row r="578">
      <c r="A578" s="23"/>
      <c r="B578" s="23"/>
      <c r="C578" s="23"/>
    </row>
    <row r="579">
      <c r="A579" s="23"/>
      <c r="B579" s="23"/>
      <c r="C579" s="23"/>
    </row>
    <row r="580">
      <c r="A580" s="23"/>
      <c r="B580" s="23"/>
      <c r="C580" s="23"/>
    </row>
    <row r="581">
      <c r="A581" s="23"/>
      <c r="B581" s="23"/>
      <c r="C581" s="23"/>
    </row>
    <row r="582">
      <c r="A582" s="23"/>
      <c r="B582" s="23"/>
      <c r="C582" s="23"/>
    </row>
    <row r="583">
      <c r="A583" s="23"/>
      <c r="B583" s="23"/>
      <c r="C583" s="23"/>
    </row>
    <row r="584">
      <c r="A584" s="23"/>
      <c r="B584" s="23"/>
      <c r="C584" s="23"/>
    </row>
    <row r="585">
      <c r="A585" s="23"/>
      <c r="B585" s="23"/>
      <c r="C585" s="23"/>
    </row>
    <row r="586">
      <c r="A586" s="23"/>
      <c r="B586" s="23"/>
      <c r="C586" s="23"/>
    </row>
    <row r="587">
      <c r="A587" s="23"/>
      <c r="B587" s="23"/>
      <c r="C587" s="23"/>
    </row>
    <row r="588">
      <c r="A588" s="23"/>
      <c r="B588" s="23"/>
      <c r="C588" s="23"/>
    </row>
    <row r="589">
      <c r="A589" s="23"/>
      <c r="B589" s="23"/>
      <c r="C589" s="23"/>
    </row>
    <row r="590">
      <c r="A590" s="23"/>
      <c r="B590" s="23"/>
      <c r="C590" s="23"/>
    </row>
    <row r="591">
      <c r="A591" s="23"/>
      <c r="B591" s="23"/>
      <c r="C591" s="23"/>
    </row>
    <row r="592">
      <c r="A592" s="23"/>
      <c r="B592" s="23"/>
      <c r="C592" s="23"/>
    </row>
    <row r="593">
      <c r="A593" s="23"/>
      <c r="B593" s="23"/>
      <c r="C593" s="23"/>
    </row>
    <row r="594">
      <c r="A594" s="23"/>
      <c r="B594" s="23"/>
      <c r="C594" s="23"/>
    </row>
    <row r="595">
      <c r="A595" s="23"/>
      <c r="B595" s="23"/>
      <c r="C595" s="23"/>
    </row>
    <row r="596">
      <c r="A596" s="23"/>
      <c r="B596" s="23"/>
      <c r="C596" s="23"/>
    </row>
    <row r="597">
      <c r="A597" s="23"/>
      <c r="B597" s="23"/>
      <c r="C597" s="23"/>
    </row>
    <row r="598">
      <c r="A598" s="23"/>
      <c r="B598" s="23"/>
      <c r="C598" s="23"/>
    </row>
    <row r="599">
      <c r="A599" s="23"/>
      <c r="B599" s="23"/>
      <c r="C599" s="23"/>
    </row>
    <row r="600">
      <c r="A600" s="23"/>
      <c r="B600" s="23"/>
      <c r="C600" s="23"/>
    </row>
    <row r="601">
      <c r="A601" s="23"/>
      <c r="B601" s="23"/>
      <c r="C601" s="23"/>
    </row>
    <row r="602">
      <c r="A602" s="23"/>
      <c r="B602" s="23"/>
      <c r="C602" s="23"/>
    </row>
    <row r="603">
      <c r="A603" s="23"/>
      <c r="B603" s="23"/>
      <c r="C603" s="23"/>
    </row>
    <row r="604">
      <c r="A604" s="23"/>
      <c r="B604" s="23"/>
      <c r="C604" s="23"/>
    </row>
    <row r="605">
      <c r="A605" s="23"/>
      <c r="B605" s="23"/>
      <c r="C605" s="23"/>
    </row>
    <row r="606">
      <c r="A606" s="23"/>
      <c r="B606" s="23"/>
      <c r="C606" s="23"/>
    </row>
    <row r="607">
      <c r="A607" s="23"/>
      <c r="B607" s="23"/>
      <c r="C607" s="23"/>
    </row>
    <row r="608">
      <c r="A608" s="23"/>
      <c r="B608" s="23"/>
      <c r="C608" s="23"/>
    </row>
    <row r="609">
      <c r="A609" s="23"/>
      <c r="B609" s="23"/>
      <c r="C609" s="23"/>
    </row>
    <row r="610">
      <c r="A610" s="23"/>
      <c r="B610" s="23"/>
      <c r="C610" s="23"/>
    </row>
    <row r="611">
      <c r="A611" s="23"/>
      <c r="B611" s="23"/>
      <c r="C611" s="23"/>
    </row>
    <row r="612">
      <c r="A612" s="23"/>
      <c r="B612" s="23"/>
      <c r="C612" s="23"/>
    </row>
    <row r="613">
      <c r="A613" s="23"/>
      <c r="B613" s="23"/>
      <c r="C613" s="23"/>
    </row>
    <row r="614">
      <c r="A614" s="23"/>
      <c r="B614" s="23"/>
      <c r="C614" s="23"/>
    </row>
    <row r="615">
      <c r="A615" s="23"/>
      <c r="B615" s="23"/>
      <c r="C615" s="23"/>
    </row>
    <row r="616">
      <c r="A616" s="23"/>
      <c r="B616" s="23"/>
      <c r="C616" s="23"/>
    </row>
    <row r="617">
      <c r="A617" s="23"/>
      <c r="B617" s="23"/>
      <c r="C617" s="23"/>
    </row>
    <row r="618">
      <c r="A618" s="23"/>
      <c r="B618" s="23"/>
      <c r="C618" s="23"/>
    </row>
    <row r="619">
      <c r="A619" s="23"/>
      <c r="B619" s="23"/>
      <c r="C619" s="23"/>
    </row>
    <row r="620">
      <c r="A620" s="23"/>
      <c r="B620" s="23"/>
      <c r="C620" s="23"/>
    </row>
    <row r="621">
      <c r="A621" s="23"/>
      <c r="B621" s="23"/>
      <c r="C621" s="23"/>
    </row>
    <row r="622">
      <c r="A622" s="23"/>
      <c r="B622" s="23"/>
      <c r="C622" s="23"/>
    </row>
    <row r="623">
      <c r="A623" s="23"/>
      <c r="B623" s="23"/>
      <c r="C623" s="23"/>
    </row>
    <row r="624">
      <c r="A624" s="23"/>
      <c r="B624" s="23"/>
      <c r="C624" s="23"/>
    </row>
    <row r="625">
      <c r="A625" s="23"/>
      <c r="B625" s="23"/>
      <c r="C625" s="23"/>
    </row>
    <row r="626">
      <c r="A626" s="23"/>
      <c r="B626" s="23"/>
      <c r="C626" s="23"/>
    </row>
    <row r="627">
      <c r="A627" s="23"/>
      <c r="B627" s="23"/>
      <c r="C627" s="23"/>
    </row>
    <row r="628">
      <c r="A628" s="23"/>
      <c r="B628" s="23"/>
      <c r="C628" s="23"/>
    </row>
    <row r="629">
      <c r="A629" s="23"/>
      <c r="B629" s="23"/>
      <c r="C629" s="23"/>
    </row>
    <row r="630">
      <c r="A630" s="23"/>
      <c r="B630" s="23"/>
      <c r="C630" s="23"/>
    </row>
    <row r="631">
      <c r="A631" s="23"/>
      <c r="B631" s="23"/>
      <c r="C631" s="23"/>
    </row>
    <row r="632">
      <c r="A632" s="23"/>
      <c r="B632" s="23"/>
      <c r="C632" s="23"/>
    </row>
    <row r="633">
      <c r="A633" s="23"/>
      <c r="B633" s="23"/>
      <c r="C633" s="23"/>
    </row>
    <row r="634">
      <c r="A634" s="23"/>
      <c r="B634" s="23"/>
      <c r="C634" s="23"/>
    </row>
    <row r="635">
      <c r="A635" s="23"/>
      <c r="B635" s="23"/>
      <c r="C635" s="23"/>
    </row>
    <row r="636">
      <c r="A636" s="23"/>
      <c r="B636" s="23"/>
      <c r="C636" s="23"/>
    </row>
    <row r="637">
      <c r="A637" s="23"/>
      <c r="B637" s="23"/>
      <c r="C637" s="23"/>
    </row>
    <row r="638">
      <c r="A638" s="23"/>
      <c r="B638" s="23"/>
      <c r="C638" s="23"/>
    </row>
    <row r="639">
      <c r="A639" s="23"/>
      <c r="B639" s="23"/>
      <c r="C639" s="23"/>
    </row>
    <row r="640">
      <c r="A640" s="23"/>
      <c r="B640" s="23"/>
      <c r="C640" s="23"/>
    </row>
    <row r="641">
      <c r="A641" s="23"/>
      <c r="B641" s="23"/>
      <c r="C641" s="23"/>
    </row>
    <row r="642">
      <c r="A642" s="23"/>
      <c r="B642" s="23"/>
      <c r="C642" s="23"/>
    </row>
    <row r="643">
      <c r="A643" s="23"/>
      <c r="B643" s="23"/>
      <c r="C643" s="23"/>
    </row>
    <row r="644">
      <c r="A644" s="23"/>
      <c r="B644" s="23"/>
      <c r="C644" s="23"/>
    </row>
    <row r="645">
      <c r="A645" s="23"/>
      <c r="B645" s="23"/>
      <c r="C645" s="23"/>
    </row>
    <row r="646">
      <c r="A646" s="23"/>
      <c r="B646" s="23"/>
      <c r="C646" s="23"/>
    </row>
    <row r="647">
      <c r="A647" s="23"/>
      <c r="B647" s="23"/>
      <c r="C647" s="23"/>
    </row>
    <row r="648">
      <c r="A648" s="23"/>
      <c r="B648" s="23"/>
      <c r="C648" s="23"/>
    </row>
    <row r="649">
      <c r="A649" s="23"/>
      <c r="B649" s="23"/>
      <c r="C649" s="23"/>
    </row>
    <row r="650">
      <c r="A650" s="23"/>
      <c r="B650" s="23"/>
      <c r="C650" s="23"/>
    </row>
    <row r="651">
      <c r="A651" s="23"/>
      <c r="B651" s="23"/>
      <c r="C651" s="23"/>
    </row>
    <row r="652">
      <c r="A652" s="23"/>
      <c r="B652" s="23"/>
      <c r="C652" s="23"/>
    </row>
    <row r="653">
      <c r="A653" s="23"/>
      <c r="B653" s="23"/>
      <c r="C653" s="23"/>
    </row>
    <row r="654">
      <c r="A654" s="23"/>
      <c r="B654" s="23"/>
      <c r="C654" s="23"/>
    </row>
    <row r="655">
      <c r="A655" s="23"/>
      <c r="B655" s="23"/>
      <c r="C655" s="23"/>
    </row>
    <row r="656">
      <c r="A656" s="23"/>
      <c r="B656" s="23"/>
      <c r="C656" s="23"/>
    </row>
    <row r="657">
      <c r="A657" s="23"/>
      <c r="B657" s="23"/>
      <c r="C657" s="23"/>
    </row>
    <row r="658">
      <c r="A658" s="23"/>
      <c r="B658" s="23"/>
      <c r="C658" s="23"/>
    </row>
    <row r="659">
      <c r="A659" s="23"/>
      <c r="B659" s="23"/>
      <c r="C659" s="23"/>
    </row>
    <row r="660">
      <c r="A660" s="23"/>
      <c r="B660" s="23"/>
      <c r="C660" s="23"/>
    </row>
    <row r="661">
      <c r="A661" s="23"/>
      <c r="B661" s="23"/>
      <c r="C661" s="23"/>
    </row>
    <row r="662">
      <c r="A662" s="23"/>
      <c r="B662" s="23"/>
      <c r="C662" s="23"/>
    </row>
    <row r="663">
      <c r="A663" s="23"/>
      <c r="B663" s="23"/>
      <c r="C663" s="23"/>
    </row>
    <row r="664">
      <c r="A664" s="23"/>
      <c r="B664" s="23"/>
      <c r="C664" s="23"/>
    </row>
    <row r="665">
      <c r="A665" s="23"/>
      <c r="B665" s="23"/>
      <c r="C665" s="23"/>
    </row>
    <row r="666">
      <c r="A666" s="23"/>
      <c r="B666" s="23"/>
      <c r="C666" s="23"/>
    </row>
    <row r="667">
      <c r="A667" s="23"/>
      <c r="B667" s="23"/>
      <c r="C667" s="23"/>
    </row>
    <row r="668">
      <c r="A668" s="23"/>
      <c r="B668" s="23"/>
      <c r="C668" s="23"/>
    </row>
    <row r="669">
      <c r="A669" s="23"/>
      <c r="B669" s="23"/>
      <c r="C669" s="23"/>
    </row>
    <row r="670">
      <c r="A670" s="23"/>
      <c r="B670" s="23"/>
      <c r="C670" s="23"/>
    </row>
    <row r="671">
      <c r="A671" s="23"/>
      <c r="B671" s="23"/>
      <c r="C671" s="23"/>
    </row>
    <row r="672">
      <c r="A672" s="23"/>
      <c r="B672" s="23"/>
      <c r="C672" s="23"/>
    </row>
    <row r="673">
      <c r="A673" s="23"/>
      <c r="B673" s="23"/>
      <c r="C673" s="23"/>
    </row>
    <row r="674">
      <c r="A674" s="23"/>
      <c r="B674" s="23"/>
      <c r="C674" s="23"/>
    </row>
    <row r="675">
      <c r="A675" s="23"/>
      <c r="B675" s="23"/>
      <c r="C675" s="23"/>
    </row>
    <row r="676">
      <c r="A676" s="23"/>
      <c r="B676" s="23"/>
      <c r="C676" s="23"/>
    </row>
    <row r="677">
      <c r="A677" s="23"/>
      <c r="B677" s="23"/>
      <c r="C677" s="23"/>
    </row>
    <row r="678">
      <c r="A678" s="23"/>
      <c r="B678" s="23"/>
      <c r="C678" s="23"/>
    </row>
    <row r="679">
      <c r="A679" s="23"/>
      <c r="B679" s="23"/>
      <c r="C679" s="23"/>
    </row>
    <row r="680">
      <c r="A680" s="23"/>
      <c r="B680" s="23"/>
      <c r="C680" s="23"/>
    </row>
    <row r="681">
      <c r="A681" s="23"/>
      <c r="B681" s="23"/>
      <c r="C681" s="23"/>
    </row>
    <row r="682">
      <c r="A682" s="23"/>
      <c r="B682" s="23"/>
      <c r="C682" s="23"/>
    </row>
    <row r="683">
      <c r="A683" s="23"/>
      <c r="B683" s="23"/>
      <c r="C683" s="23"/>
    </row>
    <row r="684">
      <c r="A684" s="23"/>
      <c r="B684" s="23"/>
      <c r="C684" s="23"/>
    </row>
    <row r="685">
      <c r="A685" s="23"/>
      <c r="B685" s="23"/>
      <c r="C685" s="23"/>
    </row>
    <row r="686">
      <c r="A686" s="23"/>
      <c r="B686" s="23"/>
      <c r="C686" s="23"/>
    </row>
    <row r="687">
      <c r="A687" s="23"/>
      <c r="B687" s="23"/>
      <c r="C687" s="23"/>
    </row>
    <row r="688">
      <c r="A688" s="23"/>
      <c r="B688" s="23"/>
      <c r="C688" s="23"/>
    </row>
    <row r="689">
      <c r="A689" s="23"/>
      <c r="B689" s="23"/>
      <c r="C689" s="23"/>
    </row>
    <row r="690">
      <c r="A690" s="23"/>
      <c r="B690" s="23"/>
      <c r="C690" s="23"/>
    </row>
    <row r="691">
      <c r="A691" s="23"/>
      <c r="B691" s="23"/>
      <c r="C691" s="23"/>
    </row>
    <row r="692">
      <c r="A692" s="23"/>
      <c r="B692" s="23"/>
      <c r="C692" s="23"/>
    </row>
    <row r="693">
      <c r="A693" s="23"/>
      <c r="B693" s="23"/>
      <c r="C693" s="23"/>
    </row>
    <row r="694">
      <c r="A694" s="23"/>
      <c r="B694" s="23"/>
      <c r="C694" s="23"/>
    </row>
    <row r="695">
      <c r="A695" s="23"/>
      <c r="B695" s="23"/>
      <c r="C695" s="23"/>
    </row>
    <row r="696">
      <c r="A696" s="23"/>
      <c r="B696" s="23"/>
      <c r="C696" s="23"/>
    </row>
    <row r="697">
      <c r="A697" s="23"/>
      <c r="B697" s="23"/>
      <c r="C697" s="23"/>
    </row>
    <row r="698">
      <c r="A698" s="23"/>
      <c r="B698" s="23"/>
      <c r="C698" s="23"/>
    </row>
    <row r="699">
      <c r="A699" s="23"/>
      <c r="B699" s="23"/>
      <c r="C699" s="23"/>
    </row>
    <row r="700">
      <c r="A700" s="23"/>
      <c r="B700" s="23"/>
      <c r="C700" s="23"/>
    </row>
    <row r="701">
      <c r="A701" s="23"/>
      <c r="B701" s="23"/>
      <c r="C701" s="23"/>
    </row>
    <row r="702">
      <c r="A702" s="23"/>
      <c r="B702" s="23"/>
      <c r="C702" s="23"/>
    </row>
    <row r="703">
      <c r="A703" s="23"/>
      <c r="B703" s="23"/>
      <c r="C703" s="23"/>
    </row>
    <row r="704">
      <c r="A704" s="23"/>
      <c r="B704" s="23"/>
      <c r="C704" s="23"/>
    </row>
    <row r="705">
      <c r="A705" s="23"/>
      <c r="B705" s="23"/>
      <c r="C705" s="23"/>
    </row>
    <row r="706">
      <c r="A706" s="23"/>
      <c r="B706" s="23"/>
      <c r="C706" s="23"/>
    </row>
    <row r="707">
      <c r="A707" s="23"/>
      <c r="B707" s="23"/>
      <c r="C707" s="23"/>
    </row>
    <row r="708">
      <c r="A708" s="23"/>
      <c r="B708" s="23"/>
      <c r="C708" s="23"/>
    </row>
    <row r="709">
      <c r="A709" s="23"/>
      <c r="B709" s="23"/>
      <c r="C709" s="23"/>
    </row>
    <row r="710">
      <c r="A710" s="23"/>
      <c r="B710" s="23"/>
      <c r="C710" s="23"/>
    </row>
    <row r="711">
      <c r="A711" s="23"/>
      <c r="B711" s="23"/>
      <c r="C711" s="23"/>
    </row>
    <row r="712">
      <c r="A712" s="23"/>
      <c r="B712" s="23"/>
      <c r="C712" s="23"/>
    </row>
    <row r="713">
      <c r="A713" s="23"/>
      <c r="B713" s="23"/>
      <c r="C713" s="23"/>
    </row>
    <row r="714">
      <c r="A714" s="23"/>
      <c r="B714" s="23"/>
      <c r="C714" s="23"/>
    </row>
    <row r="715">
      <c r="A715" s="23"/>
      <c r="B715" s="23"/>
      <c r="C715" s="23"/>
    </row>
    <row r="716">
      <c r="A716" s="23"/>
      <c r="B716" s="23"/>
      <c r="C716" s="23"/>
    </row>
    <row r="717">
      <c r="A717" s="23"/>
      <c r="B717" s="23"/>
      <c r="C717" s="23"/>
    </row>
    <row r="718">
      <c r="A718" s="23"/>
      <c r="B718" s="23"/>
      <c r="C718" s="23"/>
    </row>
    <row r="719">
      <c r="A719" s="23"/>
      <c r="B719" s="23"/>
      <c r="C719" s="23"/>
    </row>
    <row r="720">
      <c r="A720" s="23"/>
      <c r="B720" s="23"/>
      <c r="C720" s="23"/>
    </row>
    <row r="721">
      <c r="A721" s="23"/>
      <c r="B721" s="23"/>
      <c r="C721" s="23"/>
    </row>
    <row r="722">
      <c r="A722" s="23"/>
      <c r="B722" s="23"/>
      <c r="C722" s="23"/>
    </row>
    <row r="723">
      <c r="A723" s="23"/>
      <c r="B723" s="23"/>
      <c r="C723" s="23"/>
    </row>
    <row r="724">
      <c r="A724" s="23"/>
      <c r="B724" s="23"/>
      <c r="C724" s="23"/>
    </row>
    <row r="725">
      <c r="A725" s="23"/>
      <c r="B725" s="23"/>
      <c r="C725" s="23"/>
    </row>
    <row r="726">
      <c r="A726" s="23"/>
      <c r="B726" s="23"/>
      <c r="C726" s="23"/>
    </row>
    <row r="727">
      <c r="A727" s="23"/>
      <c r="B727" s="23"/>
      <c r="C727" s="23"/>
    </row>
    <row r="728">
      <c r="A728" s="23"/>
      <c r="B728" s="23"/>
      <c r="C728" s="23"/>
    </row>
    <row r="729">
      <c r="A729" s="23"/>
      <c r="B729" s="23"/>
      <c r="C729" s="23"/>
    </row>
    <row r="730">
      <c r="A730" s="23"/>
      <c r="B730" s="23"/>
      <c r="C730" s="23"/>
    </row>
    <row r="731">
      <c r="A731" s="23"/>
      <c r="B731" s="23"/>
      <c r="C731" s="23"/>
    </row>
    <row r="732">
      <c r="A732" s="23"/>
      <c r="B732" s="23"/>
      <c r="C732" s="23"/>
    </row>
    <row r="733">
      <c r="A733" s="23"/>
      <c r="B733" s="23"/>
      <c r="C733" s="23"/>
    </row>
    <row r="734">
      <c r="A734" s="23"/>
      <c r="B734" s="23"/>
      <c r="C734" s="23"/>
    </row>
    <row r="735">
      <c r="A735" s="23"/>
      <c r="B735" s="23"/>
      <c r="C735" s="23"/>
    </row>
    <row r="736">
      <c r="A736" s="23"/>
      <c r="B736" s="23"/>
      <c r="C736" s="23"/>
    </row>
    <row r="737">
      <c r="A737" s="23"/>
      <c r="B737" s="23"/>
      <c r="C737" s="23"/>
    </row>
    <row r="738">
      <c r="A738" s="23"/>
      <c r="B738" s="23"/>
      <c r="C738" s="23"/>
    </row>
    <row r="739">
      <c r="A739" s="23"/>
      <c r="B739" s="23"/>
      <c r="C739" s="23"/>
    </row>
    <row r="740">
      <c r="A740" s="23"/>
      <c r="B740" s="23"/>
      <c r="C740" s="23"/>
    </row>
    <row r="741">
      <c r="A741" s="23"/>
      <c r="B741" s="23"/>
      <c r="C741" s="23"/>
    </row>
    <row r="742">
      <c r="A742" s="23"/>
      <c r="B742" s="23"/>
      <c r="C742" s="23"/>
    </row>
    <row r="743">
      <c r="A743" s="23"/>
      <c r="B743" s="23"/>
      <c r="C743" s="23"/>
    </row>
    <row r="744">
      <c r="A744" s="23"/>
      <c r="B744" s="23"/>
      <c r="C744" s="23"/>
    </row>
    <row r="745">
      <c r="A745" s="23"/>
      <c r="B745" s="23"/>
      <c r="C745" s="23"/>
    </row>
    <row r="746">
      <c r="A746" s="23"/>
      <c r="B746" s="23"/>
      <c r="C746" s="23"/>
    </row>
    <row r="747">
      <c r="A747" s="23"/>
      <c r="B747" s="23"/>
      <c r="C747" s="23"/>
    </row>
    <row r="748">
      <c r="A748" s="23"/>
      <c r="B748" s="23"/>
      <c r="C748" s="23"/>
    </row>
    <row r="749">
      <c r="A749" s="23"/>
      <c r="B749" s="23"/>
      <c r="C749" s="23"/>
    </row>
    <row r="750">
      <c r="A750" s="23"/>
      <c r="B750" s="23"/>
      <c r="C750" s="23"/>
    </row>
    <row r="751">
      <c r="A751" s="23"/>
      <c r="B751" s="23"/>
      <c r="C751" s="23"/>
    </row>
    <row r="752">
      <c r="A752" s="23"/>
      <c r="B752" s="23"/>
      <c r="C752" s="23"/>
    </row>
    <row r="753">
      <c r="A753" s="23"/>
      <c r="B753" s="23"/>
      <c r="C753" s="23"/>
    </row>
    <row r="754">
      <c r="A754" s="23"/>
      <c r="B754" s="23"/>
      <c r="C754" s="23"/>
    </row>
    <row r="755">
      <c r="A755" s="23"/>
      <c r="B755" s="23"/>
      <c r="C755" s="23"/>
    </row>
    <row r="756">
      <c r="A756" s="23"/>
      <c r="B756" s="23"/>
      <c r="C756" s="23"/>
    </row>
    <row r="757">
      <c r="A757" s="23"/>
      <c r="B757" s="23"/>
      <c r="C757" s="23"/>
    </row>
    <row r="758">
      <c r="A758" s="23"/>
      <c r="B758" s="23"/>
      <c r="C758" s="23"/>
    </row>
    <row r="759">
      <c r="A759" s="23"/>
      <c r="B759" s="23"/>
      <c r="C759" s="23"/>
    </row>
    <row r="760">
      <c r="A760" s="23"/>
      <c r="B760" s="23"/>
      <c r="C760" s="23"/>
    </row>
    <row r="761">
      <c r="A761" s="23"/>
      <c r="B761" s="23"/>
      <c r="C761" s="23"/>
    </row>
    <row r="762">
      <c r="A762" s="23"/>
      <c r="B762" s="23"/>
      <c r="C762" s="23"/>
    </row>
    <row r="763">
      <c r="A763" s="23"/>
      <c r="B763" s="23"/>
      <c r="C763" s="23"/>
    </row>
    <row r="764">
      <c r="A764" s="23"/>
      <c r="B764" s="23"/>
      <c r="C764" s="23"/>
    </row>
    <row r="765">
      <c r="A765" s="23"/>
      <c r="B765" s="23"/>
      <c r="C765" s="23"/>
    </row>
    <row r="766">
      <c r="A766" s="23"/>
      <c r="B766" s="23"/>
      <c r="C766" s="23"/>
    </row>
    <row r="767">
      <c r="A767" s="23"/>
      <c r="B767" s="23"/>
      <c r="C767" s="23"/>
    </row>
    <row r="768">
      <c r="A768" s="23"/>
      <c r="B768" s="23"/>
      <c r="C768" s="23"/>
    </row>
    <row r="769">
      <c r="A769" s="23"/>
      <c r="B769" s="23"/>
      <c r="C769" s="23"/>
    </row>
    <row r="770">
      <c r="A770" s="23"/>
      <c r="B770" s="23"/>
      <c r="C770" s="23"/>
    </row>
    <row r="771">
      <c r="A771" s="23"/>
      <c r="B771" s="23"/>
      <c r="C771" s="23"/>
    </row>
    <row r="772">
      <c r="A772" s="23"/>
      <c r="B772" s="23"/>
      <c r="C772" s="23"/>
    </row>
    <row r="773">
      <c r="A773" s="23"/>
      <c r="B773" s="23"/>
      <c r="C773" s="23"/>
    </row>
    <row r="774">
      <c r="A774" s="23"/>
      <c r="B774" s="23"/>
      <c r="C774" s="23"/>
    </row>
    <row r="775">
      <c r="A775" s="23"/>
      <c r="B775" s="23"/>
      <c r="C775" s="23"/>
    </row>
    <row r="776">
      <c r="A776" s="23"/>
      <c r="B776" s="23"/>
      <c r="C776" s="23"/>
    </row>
    <row r="777">
      <c r="A777" s="23"/>
      <c r="B777" s="23"/>
      <c r="C777" s="23"/>
    </row>
    <row r="778">
      <c r="A778" s="23"/>
      <c r="B778" s="23"/>
      <c r="C778" s="23"/>
    </row>
    <row r="779">
      <c r="A779" s="23"/>
      <c r="B779" s="23"/>
      <c r="C779" s="23"/>
    </row>
    <row r="780">
      <c r="A780" s="23"/>
      <c r="B780" s="23"/>
      <c r="C780" s="23"/>
    </row>
    <row r="781">
      <c r="A781" s="23"/>
      <c r="B781" s="23"/>
      <c r="C781" s="23"/>
    </row>
    <row r="782">
      <c r="A782" s="23"/>
      <c r="B782" s="23"/>
      <c r="C782" s="23"/>
    </row>
    <row r="783">
      <c r="A783" s="23"/>
      <c r="B783" s="23"/>
      <c r="C783" s="23"/>
    </row>
    <row r="784">
      <c r="A784" s="23"/>
      <c r="B784" s="23"/>
      <c r="C784" s="23"/>
    </row>
    <row r="785">
      <c r="A785" s="23"/>
      <c r="B785" s="23"/>
      <c r="C785" s="23"/>
    </row>
    <row r="786">
      <c r="A786" s="23"/>
      <c r="B786" s="23"/>
      <c r="C786" s="23"/>
    </row>
    <row r="787">
      <c r="A787" s="23"/>
      <c r="B787" s="23"/>
      <c r="C787" s="23"/>
    </row>
    <row r="788">
      <c r="A788" s="23"/>
      <c r="B788" s="23"/>
      <c r="C788" s="23"/>
    </row>
    <row r="789">
      <c r="A789" s="23"/>
      <c r="B789" s="23"/>
      <c r="C789" s="23"/>
    </row>
    <row r="790">
      <c r="A790" s="23"/>
      <c r="B790" s="23"/>
      <c r="C790" s="23"/>
    </row>
    <row r="791">
      <c r="A791" s="23"/>
      <c r="B791" s="23"/>
      <c r="C791" s="23"/>
    </row>
    <row r="792">
      <c r="A792" s="23"/>
      <c r="B792" s="23"/>
      <c r="C792" s="23"/>
    </row>
    <row r="793">
      <c r="A793" s="23"/>
      <c r="B793" s="23"/>
      <c r="C793" s="23"/>
    </row>
    <row r="794">
      <c r="A794" s="23"/>
      <c r="B794" s="23"/>
      <c r="C794" s="23"/>
    </row>
    <row r="795">
      <c r="A795" s="23"/>
      <c r="B795" s="23"/>
      <c r="C795" s="23"/>
    </row>
    <row r="796">
      <c r="A796" s="23"/>
      <c r="B796" s="23"/>
      <c r="C796" s="23"/>
    </row>
    <row r="797">
      <c r="A797" s="23"/>
      <c r="B797" s="23"/>
      <c r="C797" s="23"/>
    </row>
    <row r="798">
      <c r="A798" s="23"/>
      <c r="B798" s="23"/>
      <c r="C798" s="23"/>
    </row>
    <row r="799">
      <c r="A799" s="23"/>
      <c r="B799" s="23"/>
      <c r="C799" s="23"/>
    </row>
    <row r="800">
      <c r="A800" s="23"/>
      <c r="B800" s="23"/>
      <c r="C800" s="23"/>
    </row>
    <row r="801">
      <c r="A801" s="23"/>
      <c r="B801" s="23"/>
      <c r="C801" s="23"/>
    </row>
    <row r="802">
      <c r="A802" s="23"/>
      <c r="B802" s="23"/>
      <c r="C802" s="23"/>
    </row>
    <row r="803">
      <c r="A803" s="23"/>
      <c r="B803" s="23"/>
      <c r="C803" s="23"/>
    </row>
    <row r="804">
      <c r="A804" s="23"/>
      <c r="B804" s="23"/>
      <c r="C804" s="23"/>
    </row>
    <row r="805">
      <c r="A805" s="23"/>
      <c r="B805" s="23"/>
      <c r="C805" s="23"/>
    </row>
    <row r="806">
      <c r="A806" s="23"/>
      <c r="B806" s="23"/>
      <c r="C806" s="23"/>
    </row>
    <row r="807">
      <c r="A807" s="23"/>
      <c r="B807" s="23"/>
      <c r="C807" s="23"/>
    </row>
    <row r="808">
      <c r="A808" s="23"/>
      <c r="B808" s="23"/>
      <c r="C808" s="23"/>
    </row>
    <row r="809">
      <c r="A809" s="23"/>
      <c r="B809" s="23"/>
      <c r="C809" s="23"/>
    </row>
    <row r="810">
      <c r="A810" s="23"/>
      <c r="B810" s="23"/>
      <c r="C810" s="23"/>
    </row>
    <row r="811">
      <c r="A811" s="23"/>
      <c r="B811" s="23"/>
      <c r="C811" s="23"/>
    </row>
    <row r="812">
      <c r="A812" s="23"/>
      <c r="B812" s="23"/>
      <c r="C812" s="23"/>
    </row>
    <row r="813">
      <c r="A813" s="23"/>
      <c r="B813" s="23"/>
      <c r="C813" s="23"/>
    </row>
    <row r="814">
      <c r="A814" s="23"/>
      <c r="B814" s="23"/>
      <c r="C814" s="23"/>
    </row>
    <row r="815">
      <c r="A815" s="23"/>
      <c r="B815" s="23"/>
      <c r="C815" s="23"/>
    </row>
    <row r="816">
      <c r="A816" s="23"/>
      <c r="B816" s="23"/>
      <c r="C816" s="23"/>
    </row>
    <row r="817">
      <c r="A817" s="23"/>
      <c r="B817" s="23"/>
      <c r="C817" s="23"/>
    </row>
    <row r="818">
      <c r="A818" s="23"/>
      <c r="B818" s="23"/>
      <c r="C818" s="23"/>
    </row>
    <row r="819">
      <c r="A819" s="23"/>
      <c r="B819" s="23"/>
      <c r="C819" s="23"/>
    </row>
    <row r="820">
      <c r="A820" s="23"/>
      <c r="B820" s="23"/>
      <c r="C820" s="23"/>
    </row>
    <row r="821">
      <c r="A821" s="23"/>
      <c r="B821" s="23"/>
      <c r="C821" s="23"/>
    </row>
    <row r="822">
      <c r="A822" s="23"/>
      <c r="B822" s="23"/>
      <c r="C822" s="23"/>
    </row>
    <row r="823">
      <c r="A823" s="23"/>
      <c r="B823" s="23"/>
      <c r="C823" s="23"/>
    </row>
    <row r="824">
      <c r="A824" s="23"/>
      <c r="B824" s="23"/>
      <c r="C824" s="23"/>
    </row>
    <row r="825">
      <c r="A825" s="23"/>
      <c r="B825" s="23"/>
      <c r="C825" s="23"/>
    </row>
    <row r="826">
      <c r="A826" s="23"/>
      <c r="B826" s="23"/>
      <c r="C826" s="23"/>
    </row>
    <row r="827">
      <c r="A827" s="23"/>
      <c r="B827" s="23"/>
      <c r="C827" s="23"/>
    </row>
    <row r="828">
      <c r="A828" s="23"/>
      <c r="B828" s="23"/>
      <c r="C828" s="23"/>
    </row>
    <row r="829">
      <c r="A829" s="23"/>
      <c r="B829" s="23"/>
      <c r="C829" s="23"/>
    </row>
    <row r="830">
      <c r="A830" s="23"/>
      <c r="B830" s="23"/>
      <c r="C830" s="23"/>
    </row>
    <row r="831">
      <c r="A831" s="23"/>
      <c r="B831" s="23"/>
      <c r="C831" s="23"/>
    </row>
    <row r="832">
      <c r="A832" s="23"/>
      <c r="B832" s="23"/>
      <c r="C832" s="23"/>
    </row>
    <row r="833">
      <c r="A833" s="23"/>
      <c r="B833" s="23"/>
      <c r="C833" s="23"/>
    </row>
    <row r="834">
      <c r="A834" s="23"/>
      <c r="B834" s="23"/>
      <c r="C834" s="23"/>
    </row>
    <row r="835">
      <c r="A835" s="23"/>
      <c r="B835" s="23"/>
      <c r="C835" s="23"/>
    </row>
    <row r="836">
      <c r="A836" s="23"/>
      <c r="B836" s="23"/>
      <c r="C836" s="23"/>
    </row>
    <row r="837">
      <c r="A837" s="23"/>
      <c r="B837" s="23"/>
      <c r="C837" s="23"/>
    </row>
    <row r="838">
      <c r="A838" s="23"/>
      <c r="B838" s="23"/>
      <c r="C838" s="23"/>
    </row>
    <row r="839">
      <c r="A839" s="23"/>
      <c r="B839" s="23"/>
      <c r="C839" s="23"/>
    </row>
    <row r="840">
      <c r="A840" s="23"/>
      <c r="B840" s="23"/>
      <c r="C840" s="23"/>
    </row>
    <row r="841">
      <c r="A841" s="23"/>
      <c r="B841" s="23"/>
      <c r="C841" s="23"/>
    </row>
    <row r="842">
      <c r="A842" s="23"/>
      <c r="B842" s="23"/>
      <c r="C842" s="23"/>
    </row>
    <row r="843">
      <c r="A843" s="23"/>
      <c r="B843" s="23"/>
      <c r="C843" s="23"/>
    </row>
    <row r="844">
      <c r="A844" s="23"/>
      <c r="B844" s="23"/>
      <c r="C844" s="23"/>
    </row>
    <row r="845">
      <c r="A845" s="23"/>
      <c r="B845" s="23"/>
      <c r="C845" s="23"/>
    </row>
    <row r="846">
      <c r="A846" s="23"/>
      <c r="B846" s="23"/>
      <c r="C846" s="23"/>
    </row>
    <row r="847">
      <c r="A847" s="23"/>
      <c r="B847" s="23"/>
      <c r="C847" s="23"/>
    </row>
    <row r="848">
      <c r="A848" s="23"/>
      <c r="B848" s="23"/>
      <c r="C848" s="23"/>
    </row>
    <row r="849">
      <c r="A849" s="23"/>
      <c r="B849" s="23"/>
      <c r="C849" s="23"/>
    </row>
    <row r="850">
      <c r="A850" s="23"/>
      <c r="B850" s="23"/>
      <c r="C850" s="23"/>
    </row>
    <row r="851">
      <c r="A851" s="23"/>
      <c r="B851" s="23"/>
      <c r="C851" s="23"/>
    </row>
    <row r="852">
      <c r="A852" s="23"/>
      <c r="B852" s="23"/>
      <c r="C852" s="23"/>
    </row>
    <row r="853">
      <c r="A853" s="23"/>
      <c r="B853" s="23"/>
      <c r="C853" s="23"/>
    </row>
    <row r="854">
      <c r="A854" s="23"/>
      <c r="B854" s="23"/>
      <c r="C854" s="23"/>
    </row>
    <row r="855">
      <c r="A855" s="23"/>
      <c r="B855" s="23"/>
      <c r="C855" s="23"/>
    </row>
    <row r="856">
      <c r="A856" s="23"/>
      <c r="B856" s="23"/>
      <c r="C856" s="23"/>
    </row>
    <row r="857">
      <c r="A857" s="23"/>
      <c r="B857" s="23"/>
      <c r="C857" s="23"/>
    </row>
    <row r="858">
      <c r="A858" s="23"/>
      <c r="B858" s="23"/>
      <c r="C858" s="23"/>
    </row>
    <row r="859">
      <c r="A859" s="23"/>
      <c r="B859" s="23"/>
      <c r="C859" s="23"/>
    </row>
    <row r="860">
      <c r="A860" s="23"/>
      <c r="B860" s="23"/>
      <c r="C860" s="23"/>
    </row>
    <row r="861">
      <c r="A861" s="23"/>
      <c r="B861" s="23"/>
      <c r="C861" s="23"/>
    </row>
    <row r="862">
      <c r="A862" s="23"/>
      <c r="B862" s="23"/>
      <c r="C862" s="23"/>
    </row>
    <row r="863">
      <c r="A863" s="23"/>
      <c r="B863" s="23"/>
      <c r="C863" s="23"/>
    </row>
    <row r="864">
      <c r="A864" s="23"/>
      <c r="B864" s="23"/>
      <c r="C864" s="23"/>
    </row>
    <row r="865">
      <c r="A865" s="23"/>
      <c r="B865" s="23"/>
      <c r="C865" s="23"/>
    </row>
    <row r="866">
      <c r="A866" s="23"/>
      <c r="B866" s="23"/>
      <c r="C866" s="23"/>
    </row>
    <row r="867">
      <c r="A867" s="23"/>
      <c r="B867" s="23"/>
      <c r="C867" s="23"/>
    </row>
    <row r="868">
      <c r="A868" s="23"/>
      <c r="B868" s="23"/>
      <c r="C868" s="23"/>
    </row>
    <row r="869">
      <c r="A869" s="23"/>
      <c r="B869" s="23"/>
      <c r="C869" s="23"/>
    </row>
    <row r="870">
      <c r="A870" s="23"/>
      <c r="B870" s="23"/>
      <c r="C870" s="23"/>
    </row>
    <row r="871">
      <c r="A871" s="23"/>
      <c r="B871" s="23"/>
      <c r="C871" s="23"/>
    </row>
    <row r="872">
      <c r="A872" s="23"/>
      <c r="B872" s="23"/>
      <c r="C872" s="23"/>
    </row>
    <row r="873">
      <c r="A873" s="23"/>
      <c r="B873" s="23"/>
      <c r="C873" s="23"/>
    </row>
    <row r="874">
      <c r="A874" s="23"/>
      <c r="B874" s="23"/>
      <c r="C874" s="23"/>
    </row>
    <row r="875">
      <c r="A875" s="23"/>
      <c r="B875" s="23"/>
      <c r="C875" s="23"/>
    </row>
    <row r="876">
      <c r="A876" s="23"/>
      <c r="B876" s="23"/>
      <c r="C876" s="23"/>
    </row>
    <row r="877">
      <c r="A877" s="23"/>
      <c r="B877" s="23"/>
      <c r="C877" s="23"/>
    </row>
    <row r="878">
      <c r="A878" s="23"/>
      <c r="B878" s="23"/>
      <c r="C878" s="23"/>
    </row>
    <row r="879">
      <c r="A879" s="23"/>
      <c r="B879" s="23"/>
      <c r="C879" s="23"/>
    </row>
    <row r="880">
      <c r="A880" s="23"/>
      <c r="B880" s="23"/>
      <c r="C880" s="23"/>
    </row>
    <row r="881">
      <c r="A881" s="23"/>
      <c r="B881" s="23"/>
      <c r="C881" s="23"/>
    </row>
    <row r="882">
      <c r="A882" s="23"/>
      <c r="B882" s="23"/>
      <c r="C882" s="23"/>
    </row>
    <row r="883">
      <c r="A883" s="23"/>
      <c r="B883" s="23"/>
      <c r="C883" s="23"/>
    </row>
    <row r="884">
      <c r="A884" s="23"/>
      <c r="B884" s="23"/>
      <c r="C884" s="23"/>
    </row>
    <row r="885">
      <c r="A885" s="23"/>
      <c r="B885" s="23"/>
      <c r="C885" s="23"/>
    </row>
    <row r="886">
      <c r="A886" s="23"/>
      <c r="B886" s="23"/>
      <c r="C886" s="23"/>
    </row>
    <row r="887">
      <c r="A887" s="23"/>
      <c r="B887" s="23"/>
      <c r="C887" s="23"/>
    </row>
    <row r="888">
      <c r="A888" s="23"/>
      <c r="B888" s="23"/>
      <c r="C888" s="23"/>
    </row>
    <row r="889">
      <c r="A889" s="23"/>
      <c r="B889" s="23"/>
      <c r="C889" s="23"/>
    </row>
    <row r="890">
      <c r="A890" s="23"/>
      <c r="B890" s="23"/>
      <c r="C890" s="23"/>
    </row>
    <row r="891">
      <c r="A891" s="23"/>
      <c r="B891" s="23"/>
      <c r="C891" s="23"/>
    </row>
    <row r="892">
      <c r="A892" s="23"/>
      <c r="B892" s="23"/>
      <c r="C892" s="23"/>
    </row>
    <row r="893">
      <c r="A893" s="23"/>
      <c r="B893" s="23"/>
      <c r="C893" s="23"/>
    </row>
    <row r="894">
      <c r="A894" s="23"/>
      <c r="B894" s="23"/>
      <c r="C894" s="23"/>
    </row>
    <row r="895">
      <c r="A895" s="23"/>
      <c r="B895" s="23"/>
      <c r="C895" s="23"/>
    </row>
    <row r="896">
      <c r="A896" s="23"/>
      <c r="B896" s="23"/>
      <c r="C896" s="23"/>
    </row>
    <row r="897">
      <c r="A897" s="23"/>
      <c r="B897" s="23"/>
      <c r="C897" s="23"/>
    </row>
    <row r="898">
      <c r="A898" s="23"/>
      <c r="B898" s="23"/>
      <c r="C898" s="23"/>
    </row>
    <row r="899">
      <c r="A899" s="23"/>
      <c r="B899" s="23"/>
      <c r="C899" s="23"/>
    </row>
    <row r="900">
      <c r="A900" s="23"/>
      <c r="B900" s="23"/>
      <c r="C900" s="23"/>
    </row>
    <row r="901">
      <c r="A901" s="23"/>
      <c r="B901" s="23"/>
      <c r="C901" s="23"/>
    </row>
    <row r="902">
      <c r="A902" s="23"/>
      <c r="B902" s="23"/>
      <c r="C902" s="23"/>
    </row>
    <row r="903">
      <c r="A903" s="23"/>
      <c r="B903" s="23"/>
      <c r="C903" s="23"/>
    </row>
    <row r="904">
      <c r="A904" s="23"/>
      <c r="B904" s="23"/>
      <c r="C904" s="23"/>
    </row>
    <row r="905">
      <c r="A905" s="23"/>
      <c r="B905" s="23"/>
      <c r="C905" s="23"/>
    </row>
    <row r="906">
      <c r="A906" s="23"/>
      <c r="B906" s="23"/>
      <c r="C906" s="23"/>
    </row>
    <row r="907">
      <c r="A907" s="23"/>
      <c r="B907" s="23"/>
      <c r="C907" s="23"/>
    </row>
    <row r="908">
      <c r="A908" s="23"/>
      <c r="B908" s="23"/>
      <c r="C908" s="23"/>
    </row>
    <row r="909">
      <c r="A909" s="23"/>
      <c r="B909" s="23"/>
      <c r="C909" s="23"/>
    </row>
    <row r="910">
      <c r="A910" s="23"/>
      <c r="B910" s="23"/>
      <c r="C910" s="23"/>
    </row>
    <row r="911">
      <c r="A911" s="23"/>
      <c r="B911" s="23"/>
      <c r="C911" s="23"/>
    </row>
    <row r="912">
      <c r="A912" s="23"/>
      <c r="B912" s="23"/>
      <c r="C912" s="23"/>
    </row>
    <row r="913">
      <c r="A913" s="23"/>
      <c r="B913" s="23"/>
      <c r="C913" s="23"/>
    </row>
    <row r="914">
      <c r="A914" s="23"/>
      <c r="B914" s="23"/>
      <c r="C914" s="23"/>
    </row>
    <row r="915">
      <c r="A915" s="23"/>
      <c r="B915" s="23"/>
      <c r="C915" s="23"/>
    </row>
    <row r="916">
      <c r="A916" s="23"/>
      <c r="B916" s="23"/>
      <c r="C916" s="23"/>
    </row>
    <row r="917">
      <c r="A917" s="23"/>
      <c r="B917" s="23"/>
      <c r="C917" s="23"/>
    </row>
    <row r="918">
      <c r="A918" s="23"/>
      <c r="B918" s="23"/>
      <c r="C918" s="23"/>
    </row>
    <row r="919">
      <c r="A919" s="23"/>
      <c r="B919" s="23"/>
      <c r="C919" s="23"/>
    </row>
    <row r="920">
      <c r="A920" s="23"/>
      <c r="B920" s="23"/>
      <c r="C920" s="23"/>
    </row>
    <row r="921">
      <c r="A921" s="23"/>
      <c r="B921" s="23"/>
      <c r="C921" s="23"/>
    </row>
    <row r="922">
      <c r="A922" s="23"/>
      <c r="B922" s="23"/>
      <c r="C922" s="23"/>
    </row>
    <row r="923">
      <c r="A923" s="23"/>
      <c r="B923" s="23"/>
      <c r="C923" s="23"/>
    </row>
    <row r="924">
      <c r="A924" s="23"/>
      <c r="B924" s="23"/>
      <c r="C924" s="23"/>
    </row>
    <row r="925">
      <c r="A925" s="23"/>
      <c r="B925" s="23"/>
      <c r="C925" s="23"/>
    </row>
    <row r="926">
      <c r="A926" s="23"/>
      <c r="B926" s="23"/>
      <c r="C926" s="23"/>
    </row>
    <row r="927">
      <c r="A927" s="23"/>
      <c r="B927" s="23"/>
      <c r="C927" s="23"/>
    </row>
    <row r="928">
      <c r="A928" s="23"/>
      <c r="B928" s="23"/>
      <c r="C928" s="23"/>
    </row>
    <row r="929">
      <c r="A929" s="23"/>
      <c r="B929" s="23"/>
      <c r="C929" s="23"/>
    </row>
    <row r="930">
      <c r="A930" s="23"/>
      <c r="B930" s="23"/>
      <c r="C930" s="23"/>
    </row>
    <row r="931">
      <c r="A931" s="23"/>
      <c r="B931" s="23"/>
      <c r="C931" s="23"/>
    </row>
    <row r="932">
      <c r="A932" s="23"/>
      <c r="B932" s="23"/>
      <c r="C932" s="23"/>
    </row>
    <row r="933">
      <c r="A933" s="23"/>
      <c r="B933" s="23"/>
      <c r="C933" s="23"/>
    </row>
    <row r="934">
      <c r="A934" s="23"/>
      <c r="B934" s="23"/>
      <c r="C934" s="23"/>
    </row>
    <row r="935">
      <c r="A935" s="23"/>
      <c r="B935" s="23"/>
      <c r="C935" s="23"/>
    </row>
    <row r="936">
      <c r="A936" s="23"/>
      <c r="B936" s="23"/>
      <c r="C936" s="23"/>
    </row>
    <row r="937">
      <c r="A937" s="23"/>
      <c r="B937" s="23"/>
      <c r="C937" s="23"/>
    </row>
    <row r="938">
      <c r="A938" s="23"/>
      <c r="B938" s="23"/>
      <c r="C938" s="23"/>
    </row>
    <row r="939">
      <c r="A939" s="23"/>
      <c r="B939" s="23"/>
      <c r="C939" s="23"/>
    </row>
    <row r="940">
      <c r="A940" s="23"/>
      <c r="B940" s="23"/>
      <c r="C940" s="23"/>
    </row>
    <row r="941">
      <c r="A941" s="23"/>
      <c r="B941" s="23"/>
      <c r="C941" s="23"/>
    </row>
    <row r="942">
      <c r="A942" s="23"/>
      <c r="B942" s="23"/>
      <c r="C942" s="23"/>
    </row>
    <row r="943">
      <c r="A943" s="23"/>
      <c r="B943" s="23"/>
      <c r="C943" s="23"/>
    </row>
    <row r="944">
      <c r="A944" s="23"/>
      <c r="B944" s="23"/>
      <c r="C944" s="23"/>
    </row>
    <row r="945">
      <c r="A945" s="23"/>
      <c r="B945" s="23"/>
      <c r="C945" s="23"/>
    </row>
    <row r="946">
      <c r="A946" s="23"/>
      <c r="B946" s="23"/>
      <c r="C946" s="23"/>
    </row>
    <row r="947">
      <c r="A947" s="23"/>
      <c r="B947" s="23"/>
      <c r="C947" s="23"/>
    </row>
    <row r="948">
      <c r="A948" s="23"/>
      <c r="B948" s="23"/>
      <c r="C948" s="23"/>
    </row>
    <row r="949">
      <c r="A949" s="23"/>
      <c r="B949" s="23"/>
      <c r="C949" s="23"/>
    </row>
    <row r="950">
      <c r="A950" s="23"/>
      <c r="B950" s="23"/>
      <c r="C950" s="23"/>
    </row>
    <row r="951">
      <c r="A951" s="23"/>
      <c r="B951" s="23"/>
      <c r="C951" s="23"/>
    </row>
    <row r="952">
      <c r="A952" s="23"/>
      <c r="B952" s="23"/>
      <c r="C952" s="23"/>
    </row>
    <row r="953">
      <c r="A953" s="23"/>
      <c r="B953" s="23"/>
      <c r="C953" s="23"/>
    </row>
    <row r="954">
      <c r="A954" s="23"/>
      <c r="B954" s="23"/>
      <c r="C954" s="23"/>
    </row>
    <row r="955">
      <c r="A955" s="23"/>
      <c r="B955" s="23"/>
      <c r="C955" s="23"/>
    </row>
    <row r="956">
      <c r="A956" s="23"/>
      <c r="B956" s="23"/>
      <c r="C956" s="23"/>
    </row>
    <row r="957">
      <c r="A957" s="23"/>
      <c r="B957" s="23"/>
      <c r="C957" s="23"/>
    </row>
    <row r="958">
      <c r="A958" s="23"/>
      <c r="B958" s="23"/>
      <c r="C958" s="23"/>
    </row>
    <row r="959">
      <c r="A959" s="23"/>
      <c r="B959" s="23"/>
      <c r="C959" s="23"/>
    </row>
    <row r="960">
      <c r="A960" s="23"/>
      <c r="B960" s="23"/>
      <c r="C960" s="23"/>
    </row>
    <row r="961">
      <c r="A961" s="23"/>
      <c r="B961" s="23"/>
      <c r="C961" s="23"/>
    </row>
    <row r="962">
      <c r="A962" s="23"/>
      <c r="B962" s="23"/>
      <c r="C962" s="23"/>
    </row>
    <row r="963">
      <c r="A963" s="23"/>
      <c r="B963" s="23"/>
      <c r="C963" s="23"/>
    </row>
    <row r="964">
      <c r="A964" s="23"/>
      <c r="B964" s="23"/>
      <c r="C964" s="23"/>
    </row>
    <row r="965">
      <c r="A965" s="23"/>
      <c r="B965" s="23"/>
      <c r="C965" s="23"/>
    </row>
    <row r="966">
      <c r="A966" s="23"/>
      <c r="B966" s="23"/>
      <c r="C966" s="23"/>
    </row>
    <row r="967">
      <c r="A967" s="23"/>
      <c r="B967" s="23"/>
      <c r="C967" s="23"/>
    </row>
    <row r="968">
      <c r="A968" s="23"/>
      <c r="B968" s="23"/>
      <c r="C968" s="23"/>
    </row>
    <row r="969">
      <c r="A969" s="23"/>
      <c r="B969" s="23"/>
      <c r="C969" s="23"/>
    </row>
    <row r="970">
      <c r="A970" s="23"/>
      <c r="B970" s="23"/>
      <c r="C970" s="23"/>
    </row>
    <row r="971">
      <c r="A971" s="23"/>
      <c r="B971" s="23"/>
      <c r="C971" s="23"/>
    </row>
    <row r="972">
      <c r="A972" s="23"/>
      <c r="B972" s="23"/>
      <c r="C972" s="23"/>
    </row>
    <row r="973">
      <c r="A973" s="23"/>
      <c r="B973" s="23"/>
      <c r="C973" s="23"/>
    </row>
    <row r="974">
      <c r="A974" s="23"/>
      <c r="B974" s="23"/>
      <c r="C974" s="23"/>
    </row>
    <row r="975">
      <c r="A975" s="23"/>
      <c r="B975" s="23"/>
      <c r="C975" s="23"/>
    </row>
    <row r="976">
      <c r="A976" s="23"/>
      <c r="B976" s="23"/>
      <c r="C976" s="23"/>
    </row>
    <row r="977">
      <c r="A977" s="23"/>
      <c r="B977" s="23"/>
      <c r="C977" s="23"/>
    </row>
    <row r="978">
      <c r="A978" s="23"/>
      <c r="B978" s="23"/>
      <c r="C978" s="23"/>
    </row>
    <row r="979">
      <c r="A979" s="23"/>
      <c r="B979" s="23"/>
      <c r="C979" s="23"/>
    </row>
    <row r="980">
      <c r="A980" s="23"/>
      <c r="B980" s="23"/>
      <c r="C980" s="23"/>
    </row>
    <row r="981">
      <c r="A981" s="23"/>
      <c r="B981" s="23"/>
      <c r="C981" s="23"/>
    </row>
    <row r="982">
      <c r="A982" s="23"/>
      <c r="B982" s="23"/>
      <c r="C982" s="23"/>
    </row>
    <row r="983">
      <c r="A983" s="23"/>
      <c r="B983" s="23"/>
      <c r="C983" s="23"/>
    </row>
    <row r="984">
      <c r="A984" s="23"/>
      <c r="B984" s="23"/>
      <c r="C984" s="23"/>
    </row>
    <row r="985">
      <c r="A985" s="23"/>
      <c r="B985" s="23"/>
      <c r="C985" s="23"/>
    </row>
    <row r="986">
      <c r="A986" s="23"/>
      <c r="B986" s="23"/>
      <c r="C986" s="23"/>
    </row>
    <row r="987">
      <c r="A987" s="23"/>
      <c r="B987" s="23"/>
      <c r="C987" s="23"/>
    </row>
    <row r="988">
      <c r="A988" s="23"/>
      <c r="B988" s="23"/>
      <c r="C988" s="23"/>
    </row>
    <row r="989">
      <c r="A989" s="23"/>
      <c r="B989" s="23"/>
      <c r="C989" s="23"/>
    </row>
    <row r="990">
      <c r="A990" s="23"/>
      <c r="B990" s="23"/>
      <c r="C990" s="23"/>
    </row>
    <row r="991">
      <c r="A991" s="23"/>
      <c r="B991" s="23"/>
      <c r="C991" s="23"/>
    </row>
    <row r="992">
      <c r="A992" s="23"/>
      <c r="B992" s="23"/>
      <c r="C992" s="23"/>
    </row>
    <row r="993">
      <c r="A993" s="23"/>
      <c r="B993" s="23"/>
      <c r="C993" s="23"/>
    </row>
    <row r="994">
      <c r="A994" s="23"/>
      <c r="B994" s="23"/>
      <c r="C994" s="23"/>
    </row>
    <row r="995">
      <c r="A995" s="23"/>
      <c r="B995" s="23"/>
      <c r="C995" s="23"/>
    </row>
    <row r="996">
      <c r="A996" s="23"/>
      <c r="B996" s="23"/>
      <c r="C996" s="23"/>
    </row>
    <row r="997">
      <c r="A997" s="23"/>
      <c r="B997" s="23"/>
      <c r="C997" s="23"/>
    </row>
    <row r="998">
      <c r="A998" s="23"/>
      <c r="B998" s="23"/>
      <c r="C998" s="23"/>
    </row>
    <row r="999">
      <c r="A999" s="23"/>
      <c r="B999" s="23"/>
      <c r="C999" s="23"/>
    </row>
    <row r="1000">
      <c r="A1000" s="23"/>
      <c r="B1000" s="23"/>
      <c r="C1000" s="23"/>
    </row>
  </sheetData>
  <hyperlinks>
    <hyperlink r:id="rId1" ref="B1"/>
    <hyperlink r:id="rId2" ref="C1"/>
    <hyperlink r:id="rId3" ref="E1"/>
    <hyperlink r:id="rId4" ref="F1"/>
  </hyperlinks>
  <drawing r:id="rId5"/>
  <tableParts count="2"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3" width="12.13"/>
  </cols>
  <sheetData>
    <row r="1">
      <c r="A1" s="1" t="s">
        <v>0</v>
      </c>
      <c r="B1" s="2" t="s">
        <v>1</v>
      </c>
      <c r="C1" s="2" t="s">
        <v>2</v>
      </c>
      <c r="D1" s="24" t="s">
        <v>3</v>
      </c>
      <c r="E1" s="4" t="s">
        <v>1</v>
      </c>
      <c r="F1" s="4" t="s">
        <v>2</v>
      </c>
      <c r="G1" s="25" t="s">
        <v>8</v>
      </c>
      <c r="H1" s="25" t="s">
        <v>9</v>
      </c>
      <c r="I1" s="26"/>
    </row>
    <row r="2">
      <c r="A2" s="6">
        <v>46048.0</v>
      </c>
      <c r="B2" s="7">
        <v>83.49</v>
      </c>
      <c r="C2" s="7">
        <v>112.8</v>
      </c>
      <c r="E2" s="8">
        <f t="shared" ref="E2:F2" si="1">(B2-B3)/B3</f>
        <v>-0.03053878309</v>
      </c>
      <c r="F2" s="8">
        <f t="shared" si="1"/>
        <v>0.01639935123</v>
      </c>
      <c r="G2" s="27">
        <f t="shared" ref="G2:H2" si="2">B2/B3-1</f>
        <v>-0.03053878309</v>
      </c>
      <c r="H2" s="27">
        <f t="shared" si="2"/>
        <v>0.01639935123</v>
      </c>
      <c r="I2" s="13" t="s">
        <v>10</v>
      </c>
    </row>
    <row r="3">
      <c r="A3" s="11">
        <v>46041.0</v>
      </c>
      <c r="B3" s="12">
        <v>86.12</v>
      </c>
      <c r="C3" s="12">
        <v>110.98</v>
      </c>
      <c r="E3" s="8">
        <f t="shared" ref="E3:F3" si="3">(B3-B4)/B4</f>
        <v>-0.02136363636</v>
      </c>
      <c r="F3" s="8">
        <f t="shared" si="3"/>
        <v>-0.001978417266</v>
      </c>
      <c r="G3" s="27">
        <f t="shared" ref="G3:H3" si="4">B3/B4-1</f>
        <v>-0.02136363636</v>
      </c>
      <c r="H3" s="27">
        <f t="shared" si="4"/>
        <v>-0.001978417266</v>
      </c>
      <c r="I3" s="13" t="s">
        <v>11</v>
      </c>
    </row>
    <row r="4">
      <c r="A4" s="6">
        <v>46034.0</v>
      </c>
      <c r="B4" s="7">
        <v>88.0</v>
      </c>
      <c r="C4" s="7">
        <v>111.2</v>
      </c>
      <c r="E4" s="8">
        <f t="shared" ref="E4:F4" si="5">(B4-B5)/B5</f>
        <v>-0.01632014308</v>
      </c>
      <c r="F4" s="8">
        <f t="shared" si="5"/>
        <v>-0.04038660683</v>
      </c>
      <c r="G4" s="27">
        <f t="shared" ref="G4:H4" si="6">B4/B5-1</f>
        <v>-0.01632014308</v>
      </c>
      <c r="H4" s="27">
        <f t="shared" si="6"/>
        <v>-0.04038660683</v>
      </c>
      <c r="I4" s="13" t="s">
        <v>12</v>
      </c>
    </row>
    <row r="5">
      <c r="A5" s="11">
        <v>46027.0</v>
      </c>
      <c r="B5" s="12">
        <v>89.46</v>
      </c>
      <c r="C5" s="12">
        <v>115.88</v>
      </c>
      <c r="E5" s="8">
        <f t="shared" ref="E5:F5" si="7">(B5-B6)/B6</f>
        <v>-0.01681503462</v>
      </c>
      <c r="F5" s="8">
        <f t="shared" si="7"/>
        <v>0.03603039785</v>
      </c>
      <c r="G5" s="27">
        <f t="shared" ref="G5:H5" si="8">B5/B6-1</f>
        <v>-0.01681503462</v>
      </c>
      <c r="H5" s="27">
        <f t="shared" si="8"/>
        <v>0.03603039785</v>
      </c>
    </row>
    <row r="6">
      <c r="A6" s="6">
        <v>46020.0</v>
      </c>
      <c r="B6" s="7">
        <v>90.99</v>
      </c>
      <c r="C6" s="7">
        <v>111.85</v>
      </c>
      <c r="E6" s="8">
        <f t="shared" ref="E6:F6" si="9">(B6-B7)/B7</f>
        <v>-0.03683709114</v>
      </c>
      <c r="F6" s="8">
        <f t="shared" si="9"/>
        <v>-0.01505811906</v>
      </c>
      <c r="G6" s="27">
        <f t="shared" ref="G6:H6" si="10">B6/B7-1</f>
        <v>-0.03683709114</v>
      </c>
      <c r="H6" s="27">
        <f t="shared" si="10"/>
        <v>-0.01505811906</v>
      </c>
    </row>
    <row r="7">
      <c r="A7" s="11">
        <v>46013.0</v>
      </c>
      <c r="B7" s="12">
        <v>94.47</v>
      </c>
      <c r="C7" s="12">
        <v>113.56</v>
      </c>
      <c r="E7" s="8">
        <f t="shared" ref="E7:F7" si="11">(B7-B8)/B8</f>
        <v>0.0008475474097</v>
      </c>
      <c r="F7" s="8">
        <f t="shared" si="11"/>
        <v>0.02778531994</v>
      </c>
      <c r="G7" s="27">
        <f t="shared" ref="G7:H7" si="12">B7/B8-1</f>
        <v>0.0008475474097</v>
      </c>
      <c r="H7" s="27">
        <f t="shared" si="12"/>
        <v>0.02778531994</v>
      </c>
    </row>
    <row r="8">
      <c r="A8" s="6">
        <v>46006.0</v>
      </c>
      <c r="B8" s="7">
        <v>94.39</v>
      </c>
      <c r="C8" s="7">
        <v>110.49</v>
      </c>
      <c r="E8" s="8">
        <f t="shared" ref="E8:F8" si="13">(B8-B9)/B9</f>
        <v>-0.008404244143</v>
      </c>
      <c r="F8" s="8">
        <f t="shared" si="13"/>
        <v>-0.003247631935</v>
      </c>
      <c r="G8" s="27">
        <f t="shared" ref="G8:H8" si="14">B8/B9-1</f>
        <v>-0.008404244143</v>
      </c>
      <c r="H8" s="27">
        <f t="shared" si="14"/>
        <v>-0.003247631935</v>
      </c>
    </row>
    <row r="9">
      <c r="A9" s="11">
        <v>45999.0</v>
      </c>
      <c r="B9" s="12">
        <v>95.19</v>
      </c>
      <c r="C9" s="14">
        <v>110.85</v>
      </c>
      <c r="E9" s="8">
        <f t="shared" ref="E9:F9" si="15">(B9-B10)/B10</f>
        <v>-0.05037909018</v>
      </c>
      <c r="F9" s="8">
        <f t="shared" si="15"/>
        <v>0.05985275839</v>
      </c>
      <c r="G9" s="27">
        <f t="shared" ref="G9:H9" si="16">B9/B10-1</f>
        <v>-0.05037909018</v>
      </c>
      <c r="H9" s="27">
        <f t="shared" si="16"/>
        <v>0.05985275839</v>
      </c>
    </row>
    <row r="10">
      <c r="A10" s="6">
        <v>45992.0</v>
      </c>
      <c r="B10" s="7">
        <v>100.24</v>
      </c>
      <c r="C10" s="7">
        <v>104.59</v>
      </c>
      <c r="E10" s="8">
        <f t="shared" ref="E10:F10" si="17">(B10-B11)/B11</f>
        <v>-0.06822829522</v>
      </c>
      <c r="F10" s="8">
        <f t="shared" si="17"/>
        <v>0.007902091163</v>
      </c>
      <c r="G10" s="27">
        <f t="shared" ref="G10:H10" si="18">B10/B11-1</f>
        <v>-0.06822829522</v>
      </c>
      <c r="H10" s="27">
        <f t="shared" si="18"/>
        <v>0.007902091163</v>
      </c>
    </row>
    <row r="11">
      <c r="A11" s="11">
        <v>45985.0</v>
      </c>
      <c r="B11" s="12">
        <v>107.58</v>
      </c>
      <c r="C11" s="14">
        <v>103.77</v>
      </c>
      <c r="E11" s="8">
        <f t="shared" ref="E11:F11" si="19">(B11-B12)/B12</f>
        <v>0.03134886396</v>
      </c>
      <c r="F11" s="8">
        <f t="shared" si="19"/>
        <v>0.001834330952</v>
      </c>
      <c r="G11" s="27">
        <f t="shared" ref="G11:H11" si="20">B11/B12-1</f>
        <v>0.03134886396</v>
      </c>
      <c r="H11" s="27">
        <f t="shared" si="20"/>
        <v>0.001834330952</v>
      </c>
    </row>
    <row r="12">
      <c r="A12" s="11">
        <v>45978.0</v>
      </c>
      <c r="B12" s="12">
        <v>104.31</v>
      </c>
      <c r="C12" s="7">
        <v>103.58</v>
      </c>
      <c r="E12" s="8">
        <f t="shared" ref="E12:F12" si="21">(B12-B13)/B13</f>
        <v>-0.06212911347</v>
      </c>
      <c r="F12" s="8">
        <f t="shared" si="21"/>
        <v>-0.01436863641</v>
      </c>
      <c r="G12" s="27">
        <f t="shared" ref="G12:H12" si="22">B12/B13-1</f>
        <v>-0.06212911347</v>
      </c>
      <c r="H12" s="27">
        <f t="shared" si="22"/>
        <v>-0.01436863641</v>
      </c>
    </row>
    <row r="13">
      <c r="A13" s="6">
        <v>45971.0</v>
      </c>
      <c r="B13" s="7">
        <v>111.22</v>
      </c>
      <c r="C13" s="14">
        <v>105.09</v>
      </c>
      <c r="E13" s="8">
        <f t="shared" ref="E13:F13" si="23">(B13-B14)/B14</f>
        <v>0.007701368125</v>
      </c>
      <c r="F13" s="8">
        <f t="shared" si="23"/>
        <v>-0.04463636364</v>
      </c>
      <c r="G13" s="27">
        <f t="shared" ref="G13:H13" si="24">B13/B14-1</f>
        <v>0.007701368125</v>
      </c>
      <c r="H13" s="27">
        <f t="shared" si="24"/>
        <v>-0.04463636364</v>
      </c>
    </row>
    <row r="14">
      <c r="A14" s="11">
        <v>45964.0</v>
      </c>
      <c r="B14" s="12">
        <v>110.37</v>
      </c>
      <c r="C14" s="7">
        <v>110.0</v>
      </c>
      <c r="E14" s="8">
        <f t="shared" ref="E14:F14" si="25">(B14-B15)/B15</f>
        <v>-0.01358477076</v>
      </c>
      <c r="F14" s="8">
        <f t="shared" si="25"/>
        <v>-0.01662792777</v>
      </c>
      <c r="G14" s="27">
        <f t="shared" ref="G14:H14" si="26">B14/B15-1</f>
        <v>-0.01358477076</v>
      </c>
      <c r="H14" s="27">
        <f t="shared" si="26"/>
        <v>-0.01662792777</v>
      </c>
    </row>
    <row r="15">
      <c r="A15" s="6">
        <v>45957.0</v>
      </c>
      <c r="B15" s="7">
        <v>111.89</v>
      </c>
      <c r="C15" s="14">
        <v>111.86</v>
      </c>
      <c r="E15" s="8">
        <f t="shared" ref="E15:F15" si="27">(B15-B16)/B16</f>
        <v>0.0221065132</v>
      </c>
      <c r="F15" s="8">
        <f t="shared" si="27"/>
        <v>0.008383665375</v>
      </c>
      <c r="G15" s="27">
        <f t="shared" ref="G15:H15" si="28">B15/B16-1</f>
        <v>0.0221065132</v>
      </c>
      <c r="H15" s="27">
        <f t="shared" si="28"/>
        <v>0.008383665375</v>
      </c>
    </row>
    <row r="16">
      <c r="A16" s="11">
        <v>45950.0</v>
      </c>
      <c r="B16" s="12">
        <v>109.47</v>
      </c>
      <c r="C16" s="7">
        <v>110.93</v>
      </c>
      <c r="E16" s="8">
        <f t="shared" ref="E16:F16" si="29">(B16-B17)/B17</f>
        <v>-0.08729364682</v>
      </c>
      <c r="F16" s="8">
        <f t="shared" si="29"/>
        <v>0.009096697899</v>
      </c>
      <c r="G16" s="27">
        <f t="shared" ref="G16:H16" si="30">B16/B17-1</f>
        <v>-0.08729364682</v>
      </c>
      <c r="H16" s="27">
        <f t="shared" si="30"/>
        <v>0.009096697899</v>
      </c>
    </row>
    <row r="17">
      <c r="A17" s="6">
        <v>45943.0</v>
      </c>
      <c r="B17" s="7">
        <v>119.94</v>
      </c>
      <c r="C17" s="14">
        <v>109.93</v>
      </c>
      <c r="E17" s="8">
        <f t="shared" ref="E17:F17" si="31">(B17-B18)/B18</f>
        <v>-0.01696582247</v>
      </c>
      <c r="F17" s="8">
        <f t="shared" si="31"/>
        <v>0.01355338374</v>
      </c>
      <c r="G17" s="27">
        <f t="shared" ref="G17:H17" si="32">B17/B18-1</f>
        <v>-0.01696582247</v>
      </c>
      <c r="H17" s="27">
        <f t="shared" si="32"/>
        <v>0.01355338374</v>
      </c>
    </row>
    <row r="18">
      <c r="A18" s="11">
        <v>45936.0</v>
      </c>
      <c r="B18" s="12">
        <v>122.01</v>
      </c>
      <c r="C18" s="7">
        <v>108.46</v>
      </c>
      <c r="E18" s="8">
        <f t="shared" ref="E18:F18" si="33">(B18-B19)/B19</f>
        <v>0.05792074915</v>
      </c>
      <c r="F18" s="8">
        <f t="shared" si="33"/>
        <v>-0.02909318772</v>
      </c>
      <c r="G18" s="27">
        <f t="shared" ref="G18:H18" si="34">B18/B19-1</f>
        <v>0.05792074915</v>
      </c>
      <c r="H18" s="27">
        <f t="shared" si="34"/>
        <v>-0.02909318772</v>
      </c>
    </row>
    <row r="19">
      <c r="A19" s="6">
        <v>45929.0</v>
      </c>
      <c r="B19" s="7">
        <v>115.33</v>
      </c>
      <c r="C19" s="14">
        <v>111.71</v>
      </c>
      <c r="E19" s="8">
        <f t="shared" ref="E19:F19" si="35">(B19-B20)/B20</f>
        <v>-0.04733190154</v>
      </c>
      <c r="F19" s="8">
        <f t="shared" si="35"/>
        <v>-0.008872327211</v>
      </c>
      <c r="G19" s="27">
        <f t="shared" ref="G19:H19" si="36">B19/B20-1</f>
        <v>-0.04733190154</v>
      </c>
      <c r="H19" s="27">
        <f t="shared" si="36"/>
        <v>-0.008872327211</v>
      </c>
    </row>
    <row r="20">
      <c r="A20" s="11">
        <v>45922.0</v>
      </c>
      <c r="B20" s="12">
        <v>121.06</v>
      </c>
      <c r="C20" s="7">
        <v>112.71</v>
      </c>
      <c r="E20" s="8">
        <f t="shared" ref="E20:F20" si="37">(B20-B21)/B21</f>
        <v>-0.01336593317</v>
      </c>
      <c r="F20" s="8">
        <f t="shared" si="37"/>
        <v>-0.002566371681</v>
      </c>
      <c r="G20" s="27">
        <f t="shared" ref="G20:H20" si="38">B20/B21-1</f>
        <v>-0.01336593317</v>
      </c>
      <c r="H20" s="27">
        <f t="shared" si="38"/>
        <v>-0.002566371681</v>
      </c>
    </row>
    <row r="21">
      <c r="A21" s="6">
        <v>45915.0</v>
      </c>
      <c r="B21" s="7">
        <v>122.7</v>
      </c>
      <c r="C21" s="14">
        <v>113.0</v>
      </c>
      <c r="E21" s="8">
        <f t="shared" ref="E21:F21" si="39">(B21-B22)/B22</f>
        <v>0.03248064625</v>
      </c>
      <c r="F21" s="8">
        <f t="shared" si="39"/>
        <v>-0.01892689703</v>
      </c>
      <c r="G21" s="27">
        <f t="shared" ref="G21:H21" si="40">B21/B22-1</f>
        <v>0.03248064625</v>
      </c>
      <c r="H21" s="27">
        <f t="shared" si="40"/>
        <v>-0.01892689703</v>
      </c>
    </row>
    <row r="22">
      <c r="A22" s="11">
        <v>45908.0</v>
      </c>
      <c r="B22" s="12">
        <v>118.84</v>
      </c>
      <c r="C22" s="7">
        <v>115.18</v>
      </c>
      <c r="E22" s="8">
        <f t="shared" ref="E22:F22" si="41">(B22-B23)/B23</f>
        <v>-0.04454092298</v>
      </c>
      <c r="F22" s="8">
        <f t="shared" si="41"/>
        <v>-0.01656420765</v>
      </c>
      <c r="G22" s="27">
        <f t="shared" ref="G22:H22" si="42">B22/B23-1</f>
        <v>-0.04454092298</v>
      </c>
      <c r="H22" s="27">
        <f t="shared" si="42"/>
        <v>-0.01656420765</v>
      </c>
    </row>
    <row r="23">
      <c r="A23" s="6">
        <v>45901.0</v>
      </c>
      <c r="B23" s="7">
        <v>124.38</v>
      </c>
      <c r="C23" s="7">
        <v>117.12</v>
      </c>
      <c r="E23" s="8">
        <f t="shared" ref="E23:F23" si="43">(B23-B24)/B24</f>
        <v>0.02946532031</v>
      </c>
      <c r="F23" s="8">
        <f t="shared" si="43"/>
        <v>-0.003912229971</v>
      </c>
      <c r="G23" s="27">
        <f t="shared" ref="G23:H23" si="44">B23/B24-1</f>
        <v>0.02946532031</v>
      </c>
      <c r="H23" s="27">
        <f t="shared" si="44"/>
        <v>-0.003912229971</v>
      </c>
    </row>
    <row r="24">
      <c r="A24" s="11">
        <v>45894.0</v>
      </c>
      <c r="B24" s="12">
        <v>120.82</v>
      </c>
      <c r="C24" s="12">
        <v>117.58</v>
      </c>
      <c r="E24" s="8">
        <f t="shared" ref="E24:F24" si="45">(B24-B25)/B25</f>
        <v>0.002988543915</v>
      </c>
      <c r="F24" s="8">
        <f t="shared" si="45"/>
        <v>-0.00406572929</v>
      </c>
      <c r="G24" s="27">
        <f t="shared" ref="G24:H24" si="46">B24/B25-1</f>
        <v>0.002988543915</v>
      </c>
      <c r="H24" s="27">
        <f t="shared" si="46"/>
        <v>-0.00406572929</v>
      </c>
    </row>
    <row r="25">
      <c r="A25" s="6">
        <v>45887.0</v>
      </c>
      <c r="B25" s="7">
        <v>120.46</v>
      </c>
      <c r="C25" s="7">
        <v>118.06</v>
      </c>
      <c r="E25" s="8">
        <f t="shared" ref="E25:F25" si="47">(B25-B26)/B26</f>
        <v>-0.02768585035</v>
      </c>
      <c r="F25" s="8">
        <f t="shared" si="47"/>
        <v>0.03010208533</v>
      </c>
      <c r="G25" s="27">
        <f t="shared" ref="G25:H25" si="48">B25/B26-1</f>
        <v>-0.02768585035</v>
      </c>
      <c r="H25" s="27">
        <f t="shared" si="48"/>
        <v>0.03010208533</v>
      </c>
    </row>
    <row r="26">
      <c r="A26" s="11">
        <v>45880.0</v>
      </c>
      <c r="B26" s="12">
        <v>123.89</v>
      </c>
      <c r="C26" s="12">
        <v>114.61</v>
      </c>
      <c r="E26" s="8">
        <f t="shared" ref="E26:F26" si="49">(B26-B27)/B27</f>
        <v>0.02253218884</v>
      </c>
      <c r="F26" s="8">
        <f t="shared" si="49"/>
        <v>0.02632757231</v>
      </c>
      <c r="G26" s="27">
        <f t="shared" ref="G26:H26" si="50">B26/B27-1</f>
        <v>0.02253218884</v>
      </c>
      <c r="H26" s="27">
        <f t="shared" si="50"/>
        <v>0.02632757231</v>
      </c>
    </row>
    <row r="27">
      <c r="A27" s="6">
        <v>45873.0</v>
      </c>
      <c r="B27" s="7">
        <v>121.16</v>
      </c>
      <c r="C27" s="7">
        <v>111.67</v>
      </c>
      <c r="E27" s="8">
        <f t="shared" ref="E27:F27" si="51">(B27-B28)/B28</f>
        <v>0.04574486449</v>
      </c>
      <c r="F27" s="8">
        <f t="shared" si="51"/>
        <v>-0.03574820827</v>
      </c>
      <c r="G27" s="27">
        <f t="shared" ref="G27:H27" si="52">B27/B28-1</f>
        <v>0.04574486449</v>
      </c>
      <c r="H27" s="27">
        <f t="shared" si="52"/>
        <v>-0.03574820827</v>
      </c>
    </row>
    <row r="28">
      <c r="A28" s="11">
        <v>45866.0</v>
      </c>
      <c r="B28" s="12">
        <v>115.86</v>
      </c>
      <c r="C28" s="12">
        <v>115.81</v>
      </c>
      <c r="E28" s="8">
        <f t="shared" ref="E28:F28" si="53">(B28-B29)/B29</f>
        <v>-0.01855146125</v>
      </c>
      <c r="F28" s="8">
        <f t="shared" si="53"/>
        <v>-0.04011603813</v>
      </c>
      <c r="G28" s="27">
        <f t="shared" ref="G28:H28" si="54">B28/B29-1</f>
        <v>-0.01855146125</v>
      </c>
      <c r="H28" s="27">
        <f t="shared" si="54"/>
        <v>-0.04011603813</v>
      </c>
    </row>
    <row r="29">
      <c r="A29" s="6">
        <v>45859.0</v>
      </c>
      <c r="B29" s="7">
        <v>118.05</v>
      </c>
      <c r="C29" s="7">
        <v>120.65</v>
      </c>
      <c r="E29" s="8">
        <f t="shared" ref="E29:F29" si="55">(B29-B30)/B30</f>
        <v>-0.02373470063</v>
      </c>
      <c r="F29" s="8">
        <f t="shared" si="55"/>
        <v>0.0004145936982</v>
      </c>
      <c r="G29" s="27">
        <f t="shared" ref="G29:H29" si="56">B29/B30-1</f>
        <v>-0.02373470063</v>
      </c>
      <c r="H29" s="27">
        <f t="shared" si="56"/>
        <v>0.0004145936982</v>
      </c>
    </row>
    <row r="30">
      <c r="A30" s="11">
        <v>45852.0</v>
      </c>
      <c r="B30" s="12">
        <v>120.92</v>
      </c>
      <c r="C30" s="12">
        <v>120.6</v>
      </c>
      <c r="E30" s="8">
        <f t="shared" ref="E30:F30" si="57">(B30-B31)/B31</f>
        <v>-0.02883302546</v>
      </c>
      <c r="F30" s="8">
        <f t="shared" si="57"/>
        <v>0.0129346548</v>
      </c>
      <c r="G30" s="27">
        <f t="shared" ref="G30:H30" si="58">B30/B31-1</f>
        <v>-0.02883302546</v>
      </c>
      <c r="H30" s="27">
        <f t="shared" si="58"/>
        <v>0.0129346548</v>
      </c>
    </row>
    <row r="31">
      <c r="A31" s="6">
        <v>45845.0</v>
      </c>
      <c r="B31" s="7">
        <v>124.51</v>
      </c>
      <c r="C31" s="7">
        <v>119.06</v>
      </c>
      <c r="E31" s="8">
        <f t="shared" ref="E31:F31" si="59">(B31-B32)/B32</f>
        <v>-0.04016342892</v>
      </c>
      <c r="F31" s="8">
        <f t="shared" si="59"/>
        <v>-0.03336851506</v>
      </c>
      <c r="G31" s="27">
        <f t="shared" ref="G31:H31" si="60">B31/B32-1</f>
        <v>-0.04016342892</v>
      </c>
      <c r="H31" s="27">
        <f t="shared" si="60"/>
        <v>-0.03336851506</v>
      </c>
    </row>
    <row r="32">
      <c r="A32" s="11">
        <v>45838.0</v>
      </c>
      <c r="B32" s="12">
        <v>129.72</v>
      </c>
      <c r="C32" s="12">
        <v>123.17</v>
      </c>
      <c r="E32" s="8">
        <f t="shared" ref="E32:F32" si="61">(B32-B33)/B33</f>
        <v>-0.01957523997</v>
      </c>
      <c r="F32" s="8">
        <f t="shared" si="61"/>
        <v>0.0179338843</v>
      </c>
      <c r="G32" s="27">
        <f t="shared" ref="G32:H32" si="62">B32/B33-1</f>
        <v>-0.01957523997</v>
      </c>
      <c r="H32" s="27">
        <f t="shared" si="62"/>
        <v>0.0179338843</v>
      </c>
    </row>
    <row r="33">
      <c r="A33" s="6">
        <v>45831.0</v>
      </c>
      <c r="B33" s="7">
        <v>132.31</v>
      </c>
      <c r="C33" s="12">
        <v>121.0</v>
      </c>
      <c r="E33" s="8">
        <f t="shared" ref="E33:F33" si="63">(B33-B34)/B34</f>
        <v>0.07446808511</v>
      </c>
      <c r="F33" s="8">
        <f t="shared" si="63"/>
        <v>0.04005501117</v>
      </c>
      <c r="G33" s="27">
        <f t="shared" ref="G33:H33" si="64">B33/B34-1</f>
        <v>0.07446808511</v>
      </c>
      <c r="H33" s="27">
        <f t="shared" si="64"/>
        <v>0.04005501117</v>
      </c>
    </row>
    <row r="34">
      <c r="A34" s="11">
        <v>45824.0</v>
      </c>
      <c r="B34" s="12">
        <v>123.14</v>
      </c>
      <c r="C34" s="7">
        <v>116.34</v>
      </c>
      <c r="E34" s="8">
        <f t="shared" ref="E34:F34" si="65">(B34-B35)/B35</f>
        <v>0.01592277865</v>
      </c>
      <c r="F34" s="8">
        <f t="shared" si="65"/>
        <v>-0.002657522503</v>
      </c>
      <c r="G34" s="27">
        <f t="shared" ref="G34:H34" si="66">B34/B35-1</f>
        <v>0.01592277865</v>
      </c>
      <c r="H34" s="27">
        <f t="shared" si="66"/>
        <v>-0.002657522503</v>
      </c>
    </row>
    <row r="35">
      <c r="A35" s="6">
        <v>45817.0</v>
      </c>
      <c r="B35" s="7">
        <v>121.21</v>
      </c>
      <c r="C35" s="12">
        <v>116.65</v>
      </c>
      <c r="E35" s="8">
        <f t="shared" ref="E35:F35" si="67">(B35-B36)/B36</f>
        <v>-0.02368103101</v>
      </c>
      <c r="F35" s="8">
        <f t="shared" si="67"/>
        <v>0.03550821127</v>
      </c>
      <c r="G35" s="27">
        <f t="shared" ref="G35:H35" si="68">B35/B36-1</f>
        <v>-0.02368103101</v>
      </c>
      <c r="H35" s="27">
        <f t="shared" si="68"/>
        <v>0.03550821127</v>
      </c>
    </row>
    <row r="36">
      <c r="A36" s="11">
        <v>45810.0</v>
      </c>
      <c r="B36" s="12">
        <v>124.15</v>
      </c>
      <c r="C36" s="7">
        <v>112.65</v>
      </c>
      <c r="E36" s="8">
        <f t="shared" ref="E36:F36" si="69">(B36-B37)/B37</f>
        <v>0.0284128562</v>
      </c>
      <c r="F36" s="8">
        <f t="shared" si="69"/>
        <v>0.007602862254</v>
      </c>
      <c r="G36" s="27">
        <f t="shared" ref="G36:H36" si="70">B36/B37-1</f>
        <v>0.0284128562</v>
      </c>
      <c r="H36" s="27">
        <f t="shared" si="70"/>
        <v>0.007602862254</v>
      </c>
    </row>
    <row r="37">
      <c r="A37" s="15">
        <v>45803.0</v>
      </c>
      <c r="B37" s="7">
        <v>120.72</v>
      </c>
      <c r="C37" s="12">
        <v>111.8</v>
      </c>
      <c r="E37" s="8">
        <f t="shared" ref="E37:F37" si="71">(B37-B38)/B38</f>
        <v>0.01839041674</v>
      </c>
      <c r="F37" s="8">
        <f t="shared" si="71"/>
        <v>0.03022484335</v>
      </c>
      <c r="G37" s="27">
        <f t="shared" ref="G37:H37" si="72">B37/B38-1</f>
        <v>0.01839041674</v>
      </c>
      <c r="H37" s="27">
        <f t="shared" si="72"/>
        <v>0.03022484335</v>
      </c>
    </row>
    <row r="38">
      <c r="A38" s="16">
        <v>45796.0</v>
      </c>
      <c r="B38" s="12">
        <v>118.54</v>
      </c>
      <c r="C38" s="7">
        <v>108.52</v>
      </c>
      <c r="E38" s="8">
        <f t="shared" ref="E38:F38" si="73">(B38-B39)/B39</f>
        <v>-0.005119597146</v>
      </c>
      <c r="F38" s="8">
        <f t="shared" si="73"/>
        <v>-0.03262613657</v>
      </c>
      <c r="G38" s="27">
        <f t="shared" ref="G38:H38" si="74">B38/B39-1</f>
        <v>-0.005119597146</v>
      </c>
      <c r="H38" s="27">
        <f t="shared" si="74"/>
        <v>-0.03262613657</v>
      </c>
    </row>
    <row r="39">
      <c r="A39" s="15">
        <v>45789.0</v>
      </c>
      <c r="B39" s="7">
        <v>119.15</v>
      </c>
      <c r="C39" s="12">
        <v>112.18</v>
      </c>
      <c r="E39" s="8">
        <f t="shared" ref="E39:F39" si="75">(B39-B40)/B40</f>
        <v>0.04499210665</v>
      </c>
      <c r="F39" s="8">
        <f t="shared" si="75"/>
        <v>0.07062416492</v>
      </c>
      <c r="G39" s="27">
        <f t="shared" ref="G39:H39" si="76">B39/B40-1</f>
        <v>0.04499210665</v>
      </c>
      <c r="H39" s="27">
        <f t="shared" si="76"/>
        <v>0.07062416492</v>
      </c>
    </row>
    <row r="40">
      <c r="A40" s="16">
        <v>45782.0</v>
      </c>
      <c r="B40" s="12">
        <v>114.02</v>
      </c>
      <c r="C40" s="7">
        <v>104.78</v>
      </c>
      <c r="E40" s="8">
        <f t="shared" ref="E40:F40" si="77">(B40-B41)/B41</f>
        <v>-0.01409424989</v>
      </c>
      <c r="F40" s="8">
        <f t="shared" si="77"/>
        <v>0.1453869698</v>
      </c>
      <c r="G40" s="27">
        <f t="shared" ref="G40:H40" si="78">B40/B41-1</f>
        <v>-0.01409424989</v>
      </c>
      <c r="H40" s="27">
        <f t="shared" si="78"/>
        <v>0.1453869698</v>
      </c>
    </row>
    <row r="41">
      <c r="A41" s="6">
        <v>45775.0</v>
      </c>
      <c r="B41" s="7">
        <v>115.65</v>
      </c>
      <c r="C41" s="12">
        <v>91.48</v>
      </c>
      <c r="E41" s="8">
        <f t="shared" ref="E41:F41" si="79">(B41-B42)/B42</f>
        <v>0.04993191103</v>
      </c>
      <c r="F41" s="8">
        <f t="shared" si="79"/>
        <v>0.02452682271</v>
      </c>
      <c r="G41" s="27">
        <f t="shared" ref="G41:H41" si="80">B41/B42-1</f>
        <v>0.04993191103</v>
      </c>
      <c r="H41" s="27">
        <f t="shared" si="80"/>
        <v>0.02452682271</v>
      </c>
    </row>
    <row r="42">
      <c r="A42" s="11">
        <v>45768.0</v>
      </c>
      <c r="B42" s="12">
        <v>110.15</v>
      </c>
      <c r="C42" s="7">
        <v>89.29</v>
      </c>
      <c r="E42" s="8">
        <f t="shared" ref="E42:F42" si="81">(B42-B43)/B43</f>
        <v>0.132065776</v>
      </c>
      <c r="F42" s="8">
        <f t="shared" si="81"/>
        <v>0.06449690033</v>
      </c>
      <c r="G42" s="27">
        <f t="shared" ref="G42:H42" si="82">B42/B43-1</f>
        <v>0.132065776</v>
      </c>
      <c r="H42" s="27">
        <f t="shared" si="82"/>
        <v>0.06449690033</v>
      </c>
    </row>
    <row r="43">
      <c r="A43" s="6">
        <v>45761.0</v>
      </c>
      <c r="B43" s="7">
        <v>97.3</v>
      </c>
      <c r="C43" s="12">
        <v>83.88</v>
      </c>
      <c r="E43" s="8">
        <f t="shared" ref="E43:F43" si="83">(B43-B44)/B44</f>
        <v>0.05956659044</v>
      </c>
      <c r="F43" s="8">
        <f t="shared" si="83"/>
        <v>-0.0009528346832</v>
      </c>
      <c r="G43" s="27">
        <f t="shared" ref="G43:H43" si="84">B43/B44-1</f>
        <v>0.05956659044</v>
      </c>
      <c r="H43" s="27">
        <f t="shared" si="84"/>
        <v>-0.0009528346832</v>
      </c>
    </row>
    <row r="44">
      <c r="A44" s="11">
        <v>45754.0</v>
      </c>
      <c r="B44" s="12">
        <v>91.83</v>
      </c>
      <c r="C44" s="7">
        <v>83.96</v>
      </c>
      <c r="E44" s="8">
        <f t="shared" ref="E44:F44" si="85">(B44-B45)/B45</f>
        <v>0.07290571328</v>
      </c>
      <c r="F44" s="8">
        <f t="shared" si="85"/>
        <v>0.01621883321</v>
      </c>
      <c r="G44" s="27">
        <f t="shared" ref="G44:H44" si="86">B44/B45-1</f>
        <v>0.07290571328</v>
      </c>
      <c r="H44" s="27">
        <f t="shared" si="86"/>
        <v>0.01621883321</v>
      </c>
    </row>
    <row r="45">
      <c r="A45" s="6">
        <v>45747.0</v>
      </c>
      <c r="B45" s="7">
        <v>85.59</v>
      </c>
      <c r="C45" s="12">
        <v>82.62</v>
      </c>
      <c r="E45" s="8">
        <f t="shared" ref="E45:F45" si="87">(B45-B46)/B46</f>
        <v>-0.08352071956</v>
      </c>
      <c r="F45" s="8">
        <f t="shared" si="87"/>
        <v>-0.1482474227</v>
      </c>
      <c r="G45" s="27">
        <f t="shared" ref="G45:H45" si="88">B45/B46-1</f>
        <v>-0.08352071956</v>
      </c>
      <c r="H45" s="27">
        <f t="shared" si="88"/>
        <v>-0.1482474227</v>
      </c>
    </row>
    <row r="46">
      <c r="A46" s="11">
        <v>45740.0</v>
      </c>
      <c r="B46" s="12">
        <v>93.39</v>
      </c>
      <c r="C46" s="7">
        <v>97.0</v>
      </c>
      <c r="E46" s="8">
        <f t="shared" ref="E46:F46" si="89">(B46-B47)/B47</f>
        <v>-0.02749140893</v>
      </c>
      <c r="F46" s="8">
        <f t="shared" si="89"/>
        <v>-0.01392701027</v>
      </c>
      <c r="G46" s="27">
        <f t="shared" ref="G46:H46" si="90">B46/B47-1</f>
        <v>-0.02749140893</v>
      </c>
      <c r="H46" s="27">
        <f t="shared" si="90"/>
        <v>-0.01392701027</v>
      </c>
    </row>
    <row r="47">
      <c r="A47" s="6">
        <v>45733.0</v>
      </c>
      <c r="B47" s="7">
        <v>96.03</v>
      </c>
      <c r="C47" s="12">
        <v>98.37</v>
      </c>
      <c r="E47" s="8">
        <f t="shared" ref="E47:F47" si="91">(B47-B48)/B48</f>
        <v>0.04607843137</v>
      </c>
      <c r="F47" s="8">
        <f t="shared" si="91"/>
        <v>0.008302583026</v>
      </c>
      <c r="G47" s="27">
        <f t="shared" ref="G47:H47" si="92">B47/B48-1</f>
        <v>0.04607843137</v>
      </c>
      <c r="H47" s="27">
        <f t="shared" si="92"/>
        <v>0.008302583026</v>
      </c>
    </row>
    <row r="48">
      <c r="A48" s="11">
        <v>45726.0</v>
      </c>
      <c r="B48" s="12">
        <v>91.8</v>
      </c>
      <c r="C48" s="7">
        <v>97.56</v>
      </c>
      <c r="E48" s="8">
        <f t="shared" ref="E48:F48" si="93">(B48-B49)/B49</f>
        <v>0.03018740882</v>
      </c>
      <c r="F48" s="8">
        <f t="shared" si="93"/>
        <v>-0.06515906478</v>
      </c>
      <c r="G48" s="27">
        <f t="shared" ref="G48:H48" si="94">B48/B49-1</f>
        <v>0.03018740882</v>
      </c>
      <c r="H48" s="27">
        <f t="shared" si="94"/>
        <v>-0.06515906478</v>
      </c>
    </row>
    <row r="49">
      <c r="A49" s="6">
        <v>45719.0</v>
      </c>
      <c r="B49" s="7">
        <v>89.11</v>
      </c>
      <c r="C49" s="12">
        <v>104.36</v>
      </c>
      <c r="E49" s="8">
        <f t="shared" ref="E49:F49" si="95">(B49-B50)/B50</f>
        <v>-0.09127065062</v>
      </c>
      <c r="F49" s="8">
        <f t="shared" si="95"/>
        <v>-0.07285003554</v>
      </c>
      <c r="G49" s="27">
        <f t="shared" ref="G49:H49" si="96">B49/B50-1</f>
        <v>-0.09127065062</v>
      </c>
      <c r="H49" s="27">
        <f t="shared" si="96"/>
        <v>-0.07285003554</v>
      </c>
    </row>
    <row r="50">
      <c r="A50" s="11">
        <v>45712.0</v>
      </c>
      <c r="B50" s="12">
        <v>98.06</v>
      </c>
      <c r="C50" s="7">
        <v>112.56</v>
      </c>
      <c r="E50" s="8">
        <f t="shared" ref="E50:F50" si="97">(B50-B51)/B51</f>
        <v>-0.02252791069</v>
      </c>
      <c r="F50" s="8">
        <f t="shared" si="97"/>
        <v>0.04736205453</v>
      </c>
      <c r="G50" s="27">
        <f t="shared" ref="G50:H50" si="98">B50/B51-1</f>
        <v>-0.02252791069</v>
      </c>
      <c r="H50" s="27">
        <f t="shared" si="98"/>
        <v>0.04736205453</v>
      </c>
    </row>
    <row r="51">
      <c r="A51" s="17">
        <v>45705.0</v>
      </c>
      <c r="B51" s="18">
        <v>100.32</v>
      </c>
      <c r="C51" s="12">
        <v>107.47</v>
      </c>
      <c r="E51" s="8">
        <f t="shared" ref="E51:F51" si="99">(B51-B52)/B52</f>
        <v>-0.05233327036</v>
      </c>
      <c r="F51" s="8">
        <f t="shared" si="99"/>
        <v>-0.0155720436</v>
      </c>
      <c r="G51" s="27">
        <f t="shared" ref="G51:H51" si="100">B51/B52-1</f>
        <v>-0.05233327036</v>
      </c>
      <c r="H51" s="27">
        <f t="shared" si="100"/>
        <v>-0.0155720436</v>
      </c>
    </row>
    <row r="52">
      <c r="A52" s="11">
        <v>45698.0</v>
      </c>
      <c r="B52" s="12">
        <v>105.86</v>
      </c>
      <c r="C52" s="18">
        <v>109.17</v>
      </c>
      <c r="E52" s="8">
        <f t="shared" ref="E52:F52" si="101">(B52-B53)/B53</f>
        <v>0.04408718809</v>
      </c>
      <c r="F52" s="8">
        <f t="shared" si="101"/>
        <v>-0.004377564979</v>
      </c>
      <c r="G52" s="27">
        <f t="shared" ref="G52:H52" si="102">B52/B53-1</f>
        <v>0.04408718809</v>
      </c>
      <c r="H52" s="27">
        <f t="shared" si="102"/>
        <v>-0.004377564979</v>
      </c>
    </row>
    <row r="53">
      <c r="A53" s="6">
        <v>45691.0</v>
      </c>
      <c r="B53" s="7">
        <v>101.39</v>
      </c>
      <c r="C53" s="12">
        <v>109.65</v>
      </c>
      <c r="E53" s="19"/>
      <c r="G53" s="28"/>
    </row>
    <row r="54">
      <c r="A54" s="21"/>
      <c r="B54" s="22"/>
      <c r="C54" s="22"/>
    </row>
    <row r="55">
      <c r="A55" s="23"/>
      <c r="B55" s="23"/>
      <c r="C55" s="22"/>
    </row>
    <row r="56">
      <c r="A56" s="23"/>
      <c r="B56" s="23"/>
      <c r="C56" s="23"/>
    </row>
    <row r="57">
      <c r="A57" s="23"/>
      <c r="B57" s="23"/>
      <c r="C57" s="23"/>
    </row>
    <row r="58">
      <c r="A58" s="23"/>
      <c r="B58" s="23"/>
      <c r="C58" s="23"/>
    </row>
    <row r="59">
      <c r="A59" s="23"/>
      <c r="B59" s="23"/>
      <c r="C59" s="23"/>
    </row>
    <row r="60">
      <c r="A60" s="23"/>
      <c r="B60" s="23"/>
      <c r="C60" s="23"/>
    </row>
    <row r="61">
      <c r="A61" s="23"/>
      <c r="B61" s="23"/>
      <c r="C61" s="23"/>
    </row>
    <row r="62">
      <c r="A62" s="23"/>
      <c r="B62" s="23"/>
      <c r="C62" s="23"/>
    </row>
    <row r="63">
      <c r="A63" s="23"/>
      <c r="B63" s="23"/>
      <c r="C63" s="23"/>
    </row>
    <row r="64">
      <c r="A64" s="23"/>
      <c r="B64" s="23"/>
      <c r="C64" s="23"/>
    </row>
    <row r="65">
      <c r="A65" s="23"/>
      <c r="B65" s="23"/>
      <c r="C65" s="23"/>
    </row>
    <row r="66">
      <c r="A66" s="23"/>
      <c r="B66" s="23"/>
      <c r="C66" s="23"/>
    </row>
    <row r="67">
      <c r="A67" s="23"/>
      <c r="B67" s="23"/>
      <c r="C67" s="23"/>
    </row>
    <row r="68">
      <c r="A68" s="23"/>
      <c r="B68" s="23"/>
      <c r="C68" s="23"/>
    </row>
    <row r="69">
      <c r="A69" s="23"/>
      <c r="B69" s="23"/>
      <c r="C69" s="23"/>
    </row>
    <row r="70">
      <c r="A70" s="23"/>
      <c r="B70" s="23"/>
      <c r="C70" s="23"/>
    </row>
    <row r="71">
      <c r="A71" s="23"/>
      <c r="B71" s="23"/>
      <c r="C71" s="23"/>
    </row>
    <row r="72">
      <c r="A72" s="23"/>
      <c r="B72" s="23"/>
      <c r="C72" s="23"/>
    </row>
    <row r="73">
      <c r="A73" s="23"/>
      <c r="B73" s="23"/>
      <c r="C73" s="23"/>
    </row>
    <row r="74">
      <c r="A74" s="23"/>
      <c r="B74" s="23"/>
      <c r="C74" s="23"/>
    </row>
    <row r="75">
      <c r="A75" s="23"/>
      <c r="B75" s="23"/>
      <c r="C75" s="23"/>
    </row>
    <row r="76">
      <c r="A76" s="23"/>
      <c r="B76" s="23"/>
      <c r="C76" s="23"/>
    </row>
    <row r="77">
      <c r="A77" s="23"/>
      <c r="B77" s="23"/>
      <c r="C77" s="23"/>
    </row>
    <row r="78">
      <c r="A78" s="23"/>
      <c r="B78" s="23"/>
      <c r="C78" s="23"/>
    </row>
    <row r="79">
      <c r="A79" s="23"/>
      <c r="B79" s="23"/>
      <c r="C79" s="23"/>
    </row>
    <row r="80">
      <c r="A80" s="23"/>
      <c r="B80" s="23"/>
      <c r="C80" s="23"/>
    </row>
    <row r="81">
      <c r="A81" s="23"/>
      <c r="B81" s="23"/>
      <c r="C81" s="23"/>
    </row>
    <row r="82">
      <c r="A82" s="23"/>
      <c r="B82" s="23"/>
      <c r="C82" s="23"/>
    </row>
    <row r="83">
      <c r="A83" s="23"/>
      <c r="B83" s="23"/>
      <c r="C83" s="23"/>
    </row>
    <row r="84">
      <c r="A84" s="23"/>
      <c r="B84" s="23"/>
      <c r="C84" s="23"/>
    </row>
    <row r="85">
      <c r="A85" s="23"/>
      <c r="B85" s="23"/>
      <c r="C85" s="23"/>
    </row>
    <row r="86">
      <c r="A86" s="23"/>
      <c r="B86" s="23"/>
      <c r="C86" s="23"/>
    </row>
    <row r="87">
      <c r="A87" s="23"/>
      <c r="B87" s="23"/>
      <c r="C87" s="23"/>
    </row>
    <row r="88">
      <c r="A88" s="23"/>
      <c r="B88" s="23"/>
      <c r="C88" s="23"/>
    </row>
    <row r="89">
      <c r="A89" s="23"/>
      <c r="B89" s="23"/>
      <c r="C89" s="23"/>
    </row>
    <row r="90">
      <c r="A90" s="23"/>
      <c r="B90" s="23"/>
      <c r="C90" s="23"/>
    </row>
    <row r="91">
      <c r="A91" s="23"/>
      <c r="B91" s="23"/>
      <c r="C91" s="23"/>
    </row>
    <row r="92">
      <c r="A92" s="23"/>
      <c r="B92" s="23"/>
      <c r="C92" s="23"/>
    </row>
    <row r="93">
      <c r="A93" s="23"/>
      <c r="B93" s="23"/>
      <c r="C93" s="23"/>
    </row>
    <row r="94">
      <c r="A94" s="23"/>
      <c r="B94" s="23"/>
      <c r="C94" s="23"/>
    </row>
    <row r="95">
      <c r="A95" s="23"/>
      <c r="B95" s="23"/>
      <c r="C95" s="23"/>
    </row>
    <row r="96">
      <c r="A96" s="23"/>
      <c r="B96" s="23"/>
      <c r="C96" s="23"/>
    </row>
    <row r="97">
      <c r="A97" s="23"/>
      <c r="B97" s="23"/>
      <c r="C97" s="23"/>
    </row>
    <row r="98">
      <c r="A98" s="23"/>
      <c r="B98" s="23"/>
      <c r="C98" s="23"/>
    </row>
    <row r="99">
      <c r="A99" s="23"/>
      <c r="B99" s="23"/>
      <c r="C99" s="23"/>
    </row>
    <row r="100">
      <c r="A100" s="23"/>
      <c r="B100" s="23"/>
      <c r="C100" s="23"/>
    </row>
    <row r="101">
      <c r="A101" s="23"/>
      <c r="B101" s="23"/>
      <c r="C101" s="23"/>
    </row>
    <row r="102">
      <c r="A102" s="23"/>
      <c r="B102" s="23"/>
      <c r="C102" s="23"/>
    </row>
    <row r="103">
      <c r="A103" s="23"/>
      <c r="B103" s="23"/>
      <c r="C103" s="23"/>
    </row>
    <row r="104">
      <c r="A104" s="23"/>
      <c r="B104" s="23"/>
      <c r="C104" s="23"/>
    </row>
    <row r="105">
      <c r="A105" s="23"/>
      <c r="B105" s="23"/>
      <c r="C105" s="23"/>
    </row>
    <row r="106">
      <c r="A106" s="23"/>
      <c r="B106" s="23"/>
      <c r="C106" s="23"/>
    </row>
    <row r="107">
      <c r="A107" s="23"/>
      <c r="B107" s="23"/>
      <c r="C107" s="23"/>
    </row>
    <row r="108">
      <c r="A108" s="23"/>
      <c r="B108" s="23"/>
      <c r="C108" s="23"/>
    </row>
    <row r="109">
      <c r="A109" s="23"/>
      <c r="B109" s="23"/>
      <c r="C109" s="23"/>
    </row>
    <row r="110">
      <c r="A110" s="23"/>
      <c r="B110" s="23"/>
      <c r="C110" s="23"/>
    </row>
    <row r="111">
      <c r="A111" s="23"/>
      <c r="B111" s="23"/>
      <c r="C111" s="23"/>
    </row>
    <row r="112">
      <c r="A112" s="23"/>
      <c r="B112" s="23"/>
      <c r="C112" s="23"/>
    </row>
    <row r="113">
      <c r="A113" s="23"/>
      <c r="B113" s="23"/>
      <c r="C113" s="23"/>
    </row>
    <row r="114">
      <c r="A114" s="23"/>
      <c r="B114" s="23"/>
      <c r="C114" s="23"/>
    </row>
    <row r="115">
      <c r="A115" s="23"/>
      <c r="B115" s="23"/>
      <c r="C115" s="23"/>
    </row>
    <row r="116">
      <c r="A116" s="23"/>
      <c r="B116" s="23"/>
      <c r="C116" s="23"/>
    </row>
    <row r="117">
      <c r="A117" s="23"/>
      <c r="B117" s="23"/>
      <c r="C117" s="23"/>
    </row>
    <row r="118">
      <c r="A118" s="23"/>
      <c r="B118" s="23"/>
      <c r="C118" s="23"/>
    </row>
    <row r="119">
      <c r="A119" s="23"/>
      <c r="B119" s="23"/>
      <c r="C119" s="23"/>
    </row>
    <row r="120">
      <c r="A120" s="23"/>
      <c r="B120" s="23"/>
      <c r="C120" s="23"/>
    </row>
    <row r="121">
      <c r="A121" s="23"/>
      <c r="B121" s="23"/>
      <c r="C121" s="23"/>
    </row>
    <row r="122">
      <c r="A122" s="23"/>
      <c r="B122" s="23"/>
      <c r="C122" s="23"/>
    </row>
    <row r="123">
      <c r="A123" s="23"/>
      <c r="B123" s="23"/>
      <c r="C123" s="23"/>
    </row>
    <row r="124">
      <c r="A124" s="23"/>
      <c r="B124" s="23"/>
      <c r="C124" s="23"/>
    </row>
    <row r="125">
      <c r="A125" s="23"/>
      <c r="B125" s="23"/>
      <c r="C125" s="23"/>
    </row>
    <row r="126">
      <c r="A126" s="23"/>
      <c r="B126" s="23"/>
      <c r="C126" s="23"/>
    </row>
    <row r="127">
      <c r="A127" s="23"/>
      <c r="B127" s="23"/>
      <c r="C127" s="23"/>
    </row>
    <row r="128">
      <c r="A128" s="23"/>
      <c r="B128" s="23"/>
      <c r="C128" s="23"/>
    </row>
    <row r="129">
      <c r="A129" s="23"/>
      <c r="B129" s="23"/>
      <c r="C129" s="23"/>
    </row>
    <row r="130">
      <c r="A130" s="23"/>
      <c r="B130" s="23"/>
      <c r="C130" s="23"/>
    </row>
    <row r="131">
      <c r="A131" s="23"/>
      <c r="B131" s="23"/>
      <c r="C131" s="23"/>
    </row>
    <row r="132">
      <c r="A132" s="23"/>
      <c r="B132" s="23"/>
      <c r="C132" s="23"/>
    </row>
    <row r="133">
      <c r="A133" s="23"/>
      <c r="B133" s="23"/>
      <c r="C133" s="23"/>
    </row>
    <row r="134">
      <c r="A134" s="23"/>
      <c r="B134" s="23"/>
      <c r="C134" s="23"/>
    </row>
    <row r="135">
      <c r="A135" s="23"/>
      <c r="B135" s="23"/>
      <c r="C135" s="23"/>
    </row>
    <row r="136">
      <c r="A136" s="23"/>
      <c r="B136" s="23"/>
      <c r="C136" s="23"/>
    </row>
    <row r="137">
      <c r="A137" s="23"/>
      <c r="B137" s="23"/>
      <c r="C137" s="23"/>
    </row>
    <row r="138">
      <c r="A138" s="23"/>
      <c r="B138" s="23"/>
      <c r="C138" s="23"/>
    </row>
    <row r="139">
      <c r="A139" s="23"/>
      <c r="B139" s="23"/>
      <c r="C139" s="23"/>
    </row>
    <row r="140">
      <c r="A140" s="23"/>
      <c r="B140" s="23"/>
      <c r="C140" s="23"/>
    </row>
    <row r="141">
      <c r="A141" s="23"/>
      <c r="B141" s="23"/>
      <c r="C141" s="23"/>
    </row>
    <row r="142">
      <c r="A142" s="23"/>
      <c r="B142" s="23"/>
      <c r="C142" s="23"/>
    </row>
    <row r="143">
      <c r="A143" s="23"/>
      <c r="B143" s="23"/>
      <c r="C143" s="23"/>
    </row>
    <row r="144">
      <c r="A144" s="23"/>
      <c r="B144" s="23"/>
      <c r="C144" s="23"/>
    </row>
    <row r="145">
      <c r="A145" s="23"/>
      <c r="B145" s="23"/>
      <c r="C145" s="23"/>
    </row>
    <row r="146">
      <c r="A146" s="23"/>
      <c r="B146" s="23"/>
      <c r="C146" s="23"/>
    </row>
    <row r="147">
      <c r="A147" s="23"/>
      <c r="B147" s="23"/>
      <c r="C147" s="23"/>
    </row>
    <row r="148">
      <c r="A148" s="23"/>
      <c r="B148" s="23"/>
      <c r="C148" s="23"/>
    </row>
    <row r="149">
      <c r="A149" s="23"/>
      <c r="B149" s="23"/>
      <c r="C149" s="23"/>
    </row>
    <row r="150">
      <c r="A150" s="23"/>
      <c r="B150" s="23"/>
      <c r="C150" s="23"/>
    </row>
    <row r="151">
      <c r="A151" s="23"/>
      <c r="B151" s="23"/>
      <c r="C151" s="23"/>
    </row>
    <row r="152">
      <c r="A152" s="23"/>
      <c r="B152" s="23"/>
      <c r="C152" s="23"/>
    </row>
    <row r="153">
      <c r="A153" s="23"/>
      <c r="B153" s="23"/>
      <c r="C153" s="23"/>
    </row>
    <row r="154">
      <c r="A154" s="23"/>
      <c r="B154" s="23"/>
      <c r="C154" s="23"/>
    </row>
    <row r="155">
      <c r="A155" s="23"/>
      <c r="B155" s="23"/>
      <c r="C155" s="23"/>
    </row>
    <row r="156">
      <c r="A156" s="23"/>
      <c r="B156" s="23"/>
      <c r="C156" s="23"/>
    </row>
    <row r="157">
      <c r="A157" s="23"/>
      <c r="B157" s="23"/>
      <c r="C157" s="23"/>
    </row>
    <row r="158">
      <c r="A158" s="23"/>
      <c r="B158" s="23"/>
      <c r="C158" s="23"/>
    </row>
    <row r="159">
      <c r="A159" s="23"/>
      <c r="B159" s="23"/>
      <c r="C159" s="23"/>
    </row>
    <row r="160">
      <c r="A160" s="23"/>
      <c r="B160" s="23"/>
      <c r="C160" s="23"/>
    </row>
    <row r="161">
      <c r="A161" s="23"/>
      <c r="B161" s="23"/>
      <c r="C161" s="23"/>
    </row>
    <row r="162">
      <c r="A162" s="23"/>
      <c r="B162" s="23"/>
      <c r="C162" s="23"/>
    </row>
    <row r="163">
      <c r="A163" s="23"/>
      <c r="B163" s="23"/>
      <c r="C163" s="23"/>
    </row>
    <row r="164">
      <c r="A164" s="23"/>
      <c r="B164" s="23"/>
      <c r="C164" s="23"/>
    </row>
    <row r="165">
      <c r="A165" s="23"/>
      <c r="B165" s="23"/>
      <c r="C165" s="23"/>
    </row>
    <row r="166">
      <c r="A166" s="23"/>
      <c r="B166" s="23"/>
      <c r="C166" s="23"/>
    </row>
    <row r="167">
      <c r="A167" s="23"/>
      <c r="B167" s="23"/>
      <c r="C167" s="23"/>
    </row>
    <row r="168">
      <c r="A168" s="23"/>
      <c r="B168" s="23"/>
      <c r="C168" s="23"/>
    </row>
    <row r="169">
      <c r="A169" s="23"/>
      <c r="B169" s="23"/>
      <c r="C169" s="23"/>
    </row>
    <row r="170">
      <c r="A170" s="23"/>
      <c r="B170" s="23"/>
      <c r="C170" s="23"/>
    </row>
    <row r="171">
      <c r="A171" s="23"/>
      <c r="B171" s="23"/>
      <c r="C171" s="23"/>
    </row>
    <row r="172">
      <c r="A172" s="23"/>
      <c r="B172" s="23"/>
      <c r="C172" s="23"/>
    </row>
    <row r="173">
      <c r="A173" s="23"/>
      <c r="B173" s="23"/>
      <c r="C173" s="23"/>
    </row>
    <row r="174">
      <c r="A174" s="23"/>
      <c r="B174" s="23"/>
      <c r="C174" s="23"/>
    </row>
    <row r="175">
      <c r="A175" s="23"/>
      <c r="B175" s="23"/>
      <c r="C175" s="23"/>
    </row>
    <row r="176">
      <c r="A176" s="23"/>
      <c r="B176" s="23"/>
      <c r="C176" s="23"/>
    </row>
    <row r="177">
      <c r="A177" s="23"/>
      <c r="B177" s="23"/>
      <c r="C177" s="23"/>
    </row>
    <row r="178">
      <c r="A178" s="23"/>
      <c r="B178" s="23"/>
      <c r="C178" s="23"/>
    </row>
    <row r="179">
      <c r="A179" s="23"/>
      <c r="B179" s="23"/>
      <c r="C179" s="23"/>
    </row>
    <row r="180">
      <c r="A180" s="23"/>
      <c r="B180" s="23"/>
      <c r="C180" s="23"/>
    </row>
    <row r="181">
      <c r="A181" s="23"/>
      <c r="B181" s="23"/>
      <c r="C181" s="23"/>
    </row>
    <row r="182">
      <c r="A182" s="23"/>
      <c r="B182" s="23"/>
      <c r="C182" s="23"/>
    </row>
    <row r="183">
      <c r="A183" s="23"/>
      <c r="B183" s="23"/>
      <c r="C183" s="23"/>
    </row>
    <row r="184">
      <c r="A184" s="23"/>
      <c r="B184" s="23"/>
      <c r="C184" s="23"/>
    </row>
    <row r="185">
      <c r="A185" s="23"/>
      <c r="B185" s="23"/>
      <c r="C185" s="23"/>
    </row>
    <row r="186">
      <c r="A186" s="23"/>
      <c r="B186" s="23"/>
      <c r="C186" s="23"/>
    </row>
    <row r="187">
      <c r="A187" s="23"/>
      <c r="B187" s="23"/>
      <c r="C187" s="23"/>
    </row>
    <row r="188">
      <c r="A188" s="23"/>
      <c r="B188" s="23"/>
      <c r="C188" s="23"/>
    </row>
    <row r="189">
      <c r="A189" s="23"/>
      <c r="B189" s="23"/>
      <c r="C189" s="23"/>
    </row>
    <row r="190">
      <c r="A190" s="23"/>
      <c r="B190" s="23"/>
      <c r="C190" s="23"/>
    </row>
    <row r="191">
      <c r="A191" s="23"/>
      <c r="B191" s="23"/>
      <c r="C191" s="23"/>
    </row>
    <row r="192">
      <c r="A192" s="23"/>
      <c r="B192" s="23"/>
      <c r="C192" s="23"/>
    </row>
    <row r="193">
      <c r="A193" s="23"/>
      <c r="B193" s="23"/>
      <c r="C193" s="23"/>
    </row>
    <row r="194">
      <c r="A194" s="23"/>
      <c r="B194" s="23"/>
      <c r="C194" s="23"/>
    </row>
    <row r="195">
      <c r="A195" s="23"/>
      <c r="B195" s="23"/>
      <c r="C195" s="23"/>
    </row>
    <row r="196">
      <c r="A196" s="23"/>
      <c r="B196" s="23"/>
      <c r="C196" s="23"/>
    </row>
    <row r="197">
      <c r="A197" s="23"/>
      <c r="B197" s="23"/>
      <c r="C197" s="23"/>
    </row>
    <row r="198">
      <c r="A198" s="23"/>
      <c r="B198" s="23"/>
      <c r="C198" s="23"/>
    </row>
    <row r="199">
      <c r="A199" s="23"/>
      <c r="B199" s="23"/>
      <c r="C199" s="23"/>
    </row>
    <row r="200">
      <c r="A200" s="23"/>
      <c r="B200" s="23"/>
      <c r="C200" s="23"/>
    </row>
    <row r="201">
      <c r="A201" s="23"/>
      <c r="B201" s="23"/>
      <c r="C201" s="23"/>
    </row>
    <row r="202">
      <c r="A202" s="23"/>
      <c r="B202" s="23"/>
      <c r="C202" s="23"/>
    </row>
    <row r="203">
      <c r="A203" s="23"/>
      <c r="B203" s="23"/>
      <c r="C203" s="23"/>
    </row>
    <row r="204">
      <c r="A204" s="23"/>
      <c r="B204" s="23"/>
      <c r="C204" s="23"/>
    </row>
    <row r="205">
      <c r="A205" s="23"/>
      <c r="B205" s="23"/>
      <c r="C205" s="23"/>
    </row>
    <row r="206">
      <c r="A206" s="23"/>
      <c r="B206" s="23"/>
      <c r="C206" s="23"/>
    </row>
    <row r="207">
      <c r="A207" s="23"/>
      <c r="B207" s="23"/>
      <c r="C207" s="23"/>
    </row>
    <row r="208">
      <c r="A208" s="23"/>
      <c r="B208" s="23"/>
      <c r="C208" s="23"/>
    </row>
    <row r="209">
      <c r="A209" s="23"/>
      <c r="B209" s="23"/>
      <c r="C209" s="23"/>
    </row>
    <row r="210">
      <c r="A210" s="23"/>
      <c r="B210" s="23"/>
      <c r="C210" s="23"/>
    </row>
    <row r="211">
      <c r="A211" s="23"/>
      <c r="B211" s="23"/>
      <c r="C211" s="23"/>
    </row>
    <row r="212">
      <c r="A212" s="23"/>
      <c r="B212" s="23"/>
      <c r="C212" s="23"/>
    </row>
    <row r="213">
      <c r="A213" s="23"/>
      <c r="B213" s="23"/>
      <c r="C213" s="23"/>
    </row>
    <row r="214">
      <c r="A214" s="23"/>
      <c r="B214" s="23"/>
      <c r="C214" s="23"/>
    </row>
    <row r="215">
      <c r="A215" s="23"/>
      <c r="B215" s="23"/>
      <c r="C215" s="23"/>
    </row>
    <row r="216">
      <c r="A216" s="23"/>
      <c r="B216" s="23"/>
      <c r="C216" s="23"/>
    </row>
    <row r="217">
      <c r="A217" s="23"/>
      <c r="B217" s="23"/>
      <c r="C217" s="23"/>
    </row>
    <row r="218">
      <c r="A218" s="23"/>
      <c r="B218" s="23"/>
      <c r="C218" s="23"/>
    </row>
    <row r="219">
      <c r="A219" s="23"/>
      <c r="B219" s="23"/>
      <c r="C219" s="23"/>
    </row>
    <row r="220">
      <c r="A220" s="23"/>
      <c r="B220" s="23"/>
      <c r="C220" s="23"/>
    </row>
    <row r="221">
      <c r="A221" s="23"/>
      <c r="B221" s="23"/>
      <c r="C221" s="23"/>
    </row>
    <row r="222">
      <c r="A222" s="23"/>
      <c r="B222" s="23"/>
      <c r="C222" s="23"/>
    </row>
    <row r="223">
      <c r="A223" s="23"/>
      <c r="B223" s="23"/>
      <c r="C223" s="23"/>
    </row>
    <row r="224">
      <c r="A224" s="23"/>
      <c r="B224" s="23"/>
      <c r="C224" s="23"/>
    </row>
    <row r="225">
      <c r="A225" s="23"/>
      <c r="B225" s="23"/>
      <c r="C225" s="23"/>
    </row>
    <row r="226">
      <c r="A226" s="23"/>
      <c r="B226" s="23"/>
      <c r="C226" s="23"/>
    </row>
    <row r="227">
      <c r="A227" s="23"/>
      <c r="B227" s="23"/>
      <c r="C227" s="23"/>
    </row>
    <row r="228">
      <c r="A228" s="23"/>
      <c r="B228" s="23"/>
      <c r="C228" s="23"/>
    </row>
    <row r="229">
      <c r="A229" s="23"/>
      <c r="B229" s="23"/>
      <c r="C229" s="23"/>
    </row>
    <row r="230">
      <c r="A230" s="23"/>
      <c r="B230" s="23"/>
      <c r="C230" s="23"/>
    </row>
    <row r="231">
      <c r="A231" s="23"/>
      <c r="B231" s="23"/>
      <c r="C231" s="23"/>
    </row>
    <row r="232">
      <c r="A232" s="23"/>
      <c r="B232" s="23"/>
      <c r="C232" s="23"/>
    </row>
    <row r="233">
      <c r="A233" s="23"/>
      <c r="B233" s="23"/>
      <c r="C233" s="23"/>
    </row>
    <row r="234">
      <c r="A234" s="23"/>
      <c r="B234" s="23"/>
      <c r="C234" s="23"/>
    </row>
    <row r="235">
      <c r="A235" s="23"/>
      <c r="B235" s="23"/>
      <c r="C235" s="23"/>
    </row>
    <row r="236">
      <c r="A236" s="23"/>
      <c r="B236" s="23"/>
      <c r="C236" s="23"/>
    </row>
    <row r="237">
      <c r="A237" s="23"/>
      <c r="B237" s="23"/>
      <c r="C237" s="23"/>
    </row>
    <row r="238">
      <c r="A238" s="23"/>
      <c r="B238" s="23"/>
      <c r="C238" s="23"/>
    </row>
    <row r="239">
      <c r="A239" s="23"/>
      <c r="B239" s="23"/>
      <c r="C239" s="23"/>
    </row>
    <row r="240">
      <c r="A240" s="23"/>
      <c r="B240" s="23"/>
      <c r="C240" s="23"/>
    </row>
    <row r="241">
      <c r="A241" s="23"/>
      <c r="B241" s="23"/>
      <c r="C241" s="23"/>
    </row>
    <row r="242">
      <c r="A242" s="23"/>
      <c r="B242" s="23"/>
      <c r="C242" s="23"/>
    </row>
    <row r="243">
      <c r="A243" s="23"/>
      <c r="B243" s="23"/>
      <c r="C243" s="23"/>
    </row>
    <row r="244">
      <c r="A244" s="23"/>
      <c r="B244" s="23"/>
      <c r="C244" s="23"/>
    </row>
    <row r="245">
      <c r="A245" s="23"/>
      <c r="B245" s="23"/>
      <c r="C245" s="23"/>
    </row>
    <row r="246">
      <c r="A246" s="23"/>
      <c r="B246" s="23"/>
      <c r="C246" s="23"/>
    </row>
    <row r="247">
      <c r="A247" s="23"/>
      <c r="B247" s="23"/>
      <c r="C247" s="23"/>
    </row>
    <row r="248">
      <c r="A248" s="23"/>
      <c r="B248" s="23"/>
      <c r="C248" s="23"/>
    </row>
    <row r="249">
      <c r="A249" s="23"/>
      <c r="B249" s="23"/>
      <c r="C249" s="23"/>
    </row>
    <row r="250">
      <c r="A250" s="23"/>
      <c r="B250" s="23"/>
      <c r="C250" s="23"/>
    </row>
    <row r="251">
      <c r="A251" s="23"/>
      <c r="B251" s="23"/>
      <c r="C251" s="23"/>
    </row>
    <row r="252">
      <c r="A252" s="23"/>
      <c r="B252" s="23"/>
      <c r="C252" s="23"/>
    </row>
    <row r="253">
      <c r="A253" s="23"/>
      <c r="B253" s="23"/>
      <c r="C253" s="23"/>
    </row>
    <row r="254">
      <c r="A254" s="23"/>
      <c r="B254" s="23"/>
      <c r="C254" s="23"/>
    </row>
    <row r="255">
      <c r="A255" s="23"/>
      <c r="B255" s="23"/>
      <c r="C255" s="23"/>
    </row>
    <row r="256">
      <c r="A256" s="23"/>
      <c r="B256" s="23"/>
      <c r="C256" s="23"/>
    </row>
    <row r="257">
      <c r="A257" s="23"/>
      <c r="B257" s="23"/>
      <c r="C257" s="23"/>
    </row>
    <row r="258">
      <c r="A258" s="23"/>
      <c r="B258" s="23"/>
      <c r="C258" s="23"/>
    </row>
    <row r="259">
      <c r="A259" s="23"/>
      <c r="B259" s="23"/>
      <c r="C259" s="23"/>
    </row>
    <row r="260">
      <c r="A260" s="23"/>
      <c r="B260" s="23"/>
      <c r="C260" s="23"/>
    </row>
    <row r="261">
      <c r="A261" s="23"/>
      <c r="B261" s="23"/>
      <c r="C261" s="23"/>
    </row>
    <row r="262">
      <c r="A262" s="23"/>
      <c r="B262" s="23"/>
      <c r="C262" s="23"/>
    </row>
    <row r="263">
      <c r="A263" s="23"/>
      <c r="B263" s="23"/>
      <c r="C263" s="23"/>
    </row>
    <row r="264">
      <c r="A264" s="23"/>
      <c r="B264" s="23"/>
      <c r="C264" s="23"/>
    </row>
    <row r="265">
      <c r="A265" s="23"/>
      <c r="B265" s="23"/>
      <c r="C265" s="23"/>
    </row>
    <row r="266">
      <c r="A266" s="23"/>
      <c r="B266" s="23"/>
      <c r="C266" s="23"/>
    </row>
    <row r="267">
      <c r="A267" s="23"/>
      <c r="B267" s="23"/>
      <c r="C267" s="23"/>
    </row>
    <row r="268">
      <c r="A268" s="23"/>
      <c r="B268" s="23"/>
      <c r="C268" s="23"/>
    </row>
    <row r="269">
      <c r="A269" s="23"/>
      <c r="B269" s="23"/>
      <c r="C269" s="23"/>
    </row>
    <row r="270">
      <c r="A270" s="23"/>
      <c r="B270" s="23"/>
      <c r="C270" s="23"/>
    </row>
    <row r="271">
      <c r="A271" s="23"/>
      <c r="B271" s="23"/>
      <c r="C271" s="23"/>
    </row>
    <row r="272">
      <c r="A272" s="23"/>
      <c r="B272" s="23"/>
      <c r="C272" s="23"/>
    </row>
    <row r="273">
      <c r="A273" s="23"/>
      <c r="B273" s="23"/>
      <c r="C273" s="23"/>
    </row>
    <row r="274">
      <c r="A274" s="23"/>
      <c r="B274" s="23"/>
      <c r="C274" s="23"/>
    </row>
    <row r="275">
      <c r="A275" s="23"/>
      <c r="B275" s="23"/>
      <c r="C275" s="23"/>
    </row>
    <row r="276">
      <c r="A276" s="23"/>
      <c r="B276" s="23"/>
      <c r="C276" s="23"/>
    </row>
    <row r="277">
      <c r="A277" s="23"/>
      <c r="B277" s="23"/>
      <c r="C277" s="23"/>
    </row>
    <row r="278">
      <c r="A278" s="23"/>
      <c r="B278" s="23"/>
      <c r="C278" s="23"/>
    </row>
    <row r="279">
      <c r="A279" s="23"/>
      <c r="B279" s="23"/>
      <c r="C279" s="23"/>
    </row>
    <row r="280">
      <c r="A280" s="23"/>
      <c r="B280" s="23"/>
      <c r="C280" s="23"/>
    </row>
    <row r="281">
      <c r="A281" s="23"/>
      <c r="B281" s="23"/>
      <c r="C281" s="23"/>
    </row>
    <row r="282">
      <c r="A282" s="23"/>
      <c r="B282" s="23"/>
      <c r="C282" s="23"/>
    </row>
    <row r="283">
      <c r="A283" s="23"/>
      <c r="B283" s="23"/>
      <c r="C283" s="23"/>
    </row>
    <row r="284">
      <c r="A284" s="23"/>
      <c r="B284" s="23"/>
      <c r="C284" s="23"/>
    </row>
    <row r="285">
      <c r="A285" s="23"/>
      <c r="B285" s="23"/>
      <c r="C285" s="23"/>
    </row>
    <row r="286">
      <c r="A286" s="23"/>
      <c r="B286" s="23"/>
      <c r="C286" s="23"/>
    </row>
    <row r="287">
      <c r="A287" s="23"/>
      <c r="B287" s="23"/>
      <c r="C287" s="23"/>
    </row>
    <row r="288">
      <c r="A288" s="23"/>
      <c r="B288" s="23"/>
      <c r="C288" s="23"/>
    </row>
    <row r="289">
      <c r="A289" s="23"/>
      <c r="B289" s="23"/>
      <c r="C289" s="23"/>
    </row>
    <row r="290">
      <c r="A290" s="23"/>
      <c r="B290" s="23"/>
      <c r="C290" s="23"/>
    </row>
    <row r="291">
      <c r="A291" s="23"/>
      <c r="B291" s="23"/>
      <c r="C291" s="23"/>
    </row>
    <row r="292">
      <c r="A292" s="23"/>
      <c r="B292" s="23"/>
      <c r="C292" s="23"/>
    </row>
    <row r="293">
      <c r="A293" s="23"/>
      <c r="B293" s="23"/>
      <c r="C293" s="23"/>
    </row>
    <row r="294">
      <c r="A294" s="23"/>
      <c r="B294" s="23"/>
      <c r="C294" s="23"/>
    </row>
    <row r="295">
      <c r="A295" s="23"/>
      <c r="B295" s="23"/>
      <c r="C295" s="23"/>
    </row>
    <row r="296">
      <c r="A296" s="23"/>
      <c r="B296" s="23"/>
      <c r="C296" s="23"/>
    </row>
    <row r="297">
      <c r="A297" s="23"/>
      <c r="B297" s="23"/>
      <c r="C297" s="23"/>
    </row>
    <row r="298">
      <c r="A298" s="23"/>
      <c r="B298" s="23"/>
      <c r="C298" s="23"/>
    </row>
    <row r="299">
      <c r="A299" s="23"/>
      <c r="B299" s="23"/>
      <c r="C299" s="23"/>
    </row>
    <row r="300">
      <c r="A300" s="23"/>
      <c r="B300" s="23"/>
      <c r="C300" s="23"/>
    </row>
    <row r="301">
      <c r="A301" s="23"/>
      <c r="B301" s="23"/>
      <c r="C301" s="23"/>
    </row>
    <row r="302">
      <c r="A302" s="23"/>
      <c r="B302" s="23"/>
      <c r="C302" s="23"/>
    </row>
    <row r="303">
      <c r="A303" s="23"/>
      <c r="B303" s="23"/>
      <c r="C303" s="23"/>
    </row>
    <row r="304">
      <c r="A304" s="23"/>
      <c r="B304" s="23"/>
      <c r="C304" s="23"/>
    </row>
    <row r="305">
      <c r="A305" s="23"/>
      <c r="B305" s="23"/>
      <c r="C305" s="23"/>
    </row>
    <row r="306">
      <c r="A306" s="23"/>
      <c r="B306" s="23"/>
      <c r="C306" s="23"/>
    </row>
    <row r="307">
      <c r="A307" s="23"/>
      <c r="B307" s="23"/>
      <c r="C307" s="23"/>
    </row>
    <row r="308">
      <c r="A308" s="23"/>
      <c r="B308" s="23"/>
      <c r="C308" s="23"/>
    </row>
    <row r="309">
      <c r="A309" s="23"/>
      <c r="B309" s="23"/>
      <c r="C309" s="23"/>
    </row>
    <row r="310">
      <c r="A310" s="23"/>
      <c r="B310" s="23"/>
      <c r="C310" s="23"/>
    </row>
    <row r="311">
      <c r="A311" s="23"/>
      <c r="B311" s="23"/>
      <c r="C311" s="23"/>
    </row>
    <row r="312">
      <c r="A312" s="23"/>
      <c r="B312" s="23"/>
      <c r="C312" s="23"/>
    </row>
    <row r="313">
      <c r="A313" s="23"/>
      <c r="B313" s="23"/>
      <c r="C313" s="23"/>
    </row>
    <row r="314">
      <c r="A314" s="23"/>
      <c r="B314" s="23"/>
      <c r="C314" s="23"/>
    </row>
    <row r="315">
      <c r="A315" s="23"/>
      <c r="B315" s="23"/>
      <c r="C315" s="23"/>
    </row>
    <row r="316">
      <c r="A316" s="23"/>
      <c r="B316" s="23"/>
      <c r="C316" s="23"/>
    </row>
    <row r="317">
      <c r="A317" s="23"/>
      <c r="B317" s="23"/>
      <c r="C317" s="23"/>
    </row>
    <row r="318">
      <c r="A318" s="23"/>
      <c r="B318" s="23"/>
      <c r="C318" s="23"/>
    </row>
    <row r="319">
      <c r="A319" s="23"/>
      <c r="B319" s="23"/>
      <c r="C319" s="23"/>
    </row>
    <row r="320">
      <c r="A320" s="23"/>
      <c r="B320" s="23"/>
      <c r="C320" s="23"/>
    </row>
    <row r="321">
      <c r="A321" s="23"/>
      <c r="B321" s="23"/>
      <c r="C321" s="23"/>
    </row>
    <row r="322">
      <c r="A322" s="23"/>
      <c r="B322" s="23"/>
      <c r="C322" s="23"/>
    </row>
    <row r="323">
      <c r="A323" s="23"/>
      <c r="B323" s="23"/>
      <c r="C323" s="23"/>
    </row>
    <row r="324">
      <c r="A324" s="23"/>
      <c r="B324" s="23"/>
      <c r="C324" s="23"/>
    </row>
    <row r="325">
      <c r="A325" s="23"/>
      <c r="B325" s="23"/>
      <c r="C325" s="23"/>
    </row>
    <row r="326">
      <c r="A326" s="23"/>
      <c r="B326" s="23"/>
      <c r="C326" s="23"/>
    </row>
    <row r="327">
      <c r="A327" s="23"/>
      <c r="B327" s="23"/>
      <c r="C327" s="23"/>
    </row>
    <row r="328">
      <c r="A328" s="23"/>
      <c r="B328" s="23"/>
      <c r="C328" s="23"/>
    </row>
    <row r="329">
      <c r="A329" s="23"/>
      <c r="B329" s="23"/>
      <c r="C329" s="23"/>
    </row>
    <row r="330">
      <c r="A330" s="23"/>
      <c r="B330" s="23"/>
      <c r="C330" s="23"/>
    </row>
    <row r="331">
      <c r="A331" s="23"/>
      <c r="B331" s="23"/>
      <c r="C331" s="23"/>
    </row>
    <row r="332">
      <c r="A332" s="23"/>
      <c r="B332" s="23"/>
      <c r="C332" s="23"/>
    </row>
    <row r="333">
      <c r="A333" s="23"/>
      <c r="B333" s="23"/>
      <c r="C333" s="23"/>
    </row>
    <row r="334">
      <c r="A334" s="23"/>
      <c r="B334" s="23"/>
      <c r="C334" s="23"/>
    </row>
    <row r="335">
      <c r="A335" s="23"/>
      <c r="B335" s="23"/>
      <c r="C335" s="23"/>
    </row>
    <row r="336">
      <c r="A336" s="23"/>
      <c r="B336" s="23"/>
      <c r="C336" s="23"/>
    </row>
    <row r="337">
      <c r="A337" s="23"/>
      <c r="B337" s="23"/>
      <c r="C337" s="23"/>
    </row>
    <row r="338">
      <c r="A338" s="23"/>
      <c r="B338" s="23"/>
      <c r="C338" s="23"/>
    </row>
    <row r="339">
      <c r="A339" s="23"/>
      <c r="B339" s="23"/>
      <c r="C339" s="23"/>
    </row>
    <row r="340">
      <c r="A340" s="23"/>
      <c r="B340" s="23"/>
      <c r="C340" s="23"/>
    </row>
    <row r="341">
      <c r="A341" s="23"/>
      <c r="B341" s="23"/>
      <c r="C341" s="23"/>
    </row>
    <row r="342">
      <c r="A342" s="23"/>
      <c r="B342" s="23"/>
      <c r="C342" s="23"/>
    </row>
    <row r="343">
      <c r="A343" s="23"/>
      <c r="B343" s="23"/>
      <c r="C343" s="23"/>
    </row>
    <row r="344">
      <c r="A344" s="23"/>
      <c r="B344" s="23"/>
      <c r="C344" s="23"/>
    </row>
    <row r="345">
      <c r="A345" s="23"/>
      <c r="B345" s="23"/>
      <c r="C345" s="23"/>
    </row>
    <row r="346">
      <c r="A346" s="23"/>
      <c r="B346" s="23"/>
      <c r="C346" s="23"/>
    </row>
    <row r="347">
      <c r="A347" s="23"/>
      <c r="B347" s="23"/>
      <c r="C347" s="23"/>
    </row>
    <row r="348">
      <c r="A348" s="23"/>
      <c r="B348" s="23"/>
      <c r="C348" s="23"/>
    </row>
    <row r="349">
      <c r="A349" s="23"/>
      <c r="B349" s="23"/>
      <c r="C349" s="23"/>
    </row>
    <row r="350">
      <c r="A350" s="23"/>
      <c r="B350" s="23"/>
      <c r="C350" s="23"/>
    </row>
    <row r="351">
      <c r="A351" s="23"/>
      <c r="B351" s="23"/>
      <c r="C351" s="23"/>
    </row>
    <row r="352">
      <c r="A352" s="23"/>
      <c r="B352" s="23"/>
      <c r="C352" s="23"/>
    </row>
    <row r="353">
      <c r="A353" s="23"/>
      <c r="B353" s="23"/>
      <c r="C353" s="23"/>
    </row>
    <row r="354">
      <c r="A354" s="23"/>
      <c r="B354" s="23"/>
      <c r="C354" s="23"/>
    </row>
    <row r="355">
      <c r="A355" s="23"/>
      <c r="B355" s="23"/>
      <c r="C355" s="23"/>
    </row>
    <row r="356">
      <c r="A356" s="23"/>
      <c r="B356" s="23"/>
      <c r="C356" s="23"/>
    </row>
    <row r="357">
      <c r="A357" s="23"/>
      <c r="B357" s="23"/>
      <c r="C357" s="23"/>
    </row>
    <row r="358">
      <c r="A358" s="23"/>
      <c r="B358" s="23"/>
      <c r="C358" s="23"/>
    </row>
    <row r="359">
      <c r="A359" s="23"/>
      <c r="B359" s="23"/>
      <c r="C359" s="23"/>
    </row>
    <row r="360">
      <c r="A360" s="23"/>
      <c r="B360" s="23"/>
      <c r="C360" s="23"/>
    </row>
    <row r="361">
      <c r="A361" s="23"/>
      <c r="B361" s="23"/>
      <c r="C361" s="23"/>
    </row>
    <row r="362">
      <c r="A362" s="23"/>
      <c r="B362" s="23"/>
      <c r="C362" s="23"/>
    </row>
    <row r="363">
      <c r="A363" s="23"/>
      <c r="B363" s="23"/>
      <c r="C363" s="23"/>
    </row>
    <row r="364">
      <c r="A364" s="23"/>
      <c r="B364" s="23"/>
      <c r="C364" s="23"/>
    </row>
    <row r="365">
      <c r="A365" s="23"/>
      <c r="B365" s="23"/>
      <c r="C365" s="23"/>
    </row>
    <row r="366">
      <c r="A366" s="23"/>
      <c r="B366" s="23"/>
      <c r="C366" s="23"/>
    </row>
    <row r="367">
      <c r="A367" s="23"/>
      <c r="B367" s="23"/>
      <c r="C367" s="23"/>
    </row>
    <row r="368">
      <c r="A368" s="23"/>
      <c r="B368" s="23"/>
      <c r="C368" s="23"/>
    </row>
    <row r="369">
      <c r="A369" s="23"/>
      <c r="B369" s="23"/>
      <c r="C369" s="23"/>
    </row>
    <row r="370">
      <c r="A370" s="23"/>
      <c r="B370" s="23"/>
      <c r="C370" s="23"/>
    </row>
    <row r="371">
      <c r="A371" s="23"/>
      <c r="B371" s="23"/>
      <c r="C371" s="23"/>
    </row>
    <row r="372">
      <c r="A372" s="23"/>
      <c r="B372" s="23"/>
      <c r="C372" s="23"/>
    </row>
    <row r="373">
      <c r="A373" s="23"/>
      <c r="B373" s="23"/>
      <c r="C373" s="23"/>
    </row>
    <row r="374">
      <c r="A374" s="23"/>
      <c r="B374" s="23"/>
      <c r="C374" s="23"/>
    </row>
    <row r="375">
      <c r="A375" s="23"/>
      <c r="B375" s="23"/>
      <c r="C375" s="23"/>
    </row>
    <row r="376">
      <c r="A376" s="23"/>
      <c r="B376" s="23"/>
      <c r="C376" s="23"/>
    </row>
    <row r="377">
      <c r="A377" s="23"/>
      <c r="B377" s="23"/>
      <c r="C377" s="23"/>
    </row>
    <row r="378">
      <c r="A378" s="23"/>
      <c r="B378" s="23"/>
      <c r="C378" s="23"/>
    </row>
    <row r="379">
      <c r="A379" s="23"/>
      <c r="B379" s="23"/>
      <c r="C379" s="23"/>
    </row>
    <row r="380">
      <c r="A380" s="23"/>
      <c r="B380" s="23"/>
      <c r="C380" s="23"/>
    </row>
    <row r="381">
      <c r="A381" s="23"/>
      <c r="B381" s="23"/>
      <c r="C381" s="23"/>
    </row>
    <row r="382">
      <c r="A382" s="23"/>
      <c r="B382" s="23"/>
      <c r="C382" s="23"/>
    </row>
    <row r="383">
      <c r="A383" s="23"/>
      <c r="B383" s="23"/>
      <c r="C383" s="23"/>
    </row>
    <row r="384">
      <c r="A384" s="23"/>
      <c r="B384" s="23"/>
      <c r="C384" s="23"/>
    </row>
    <row r="385">
      <c r="A385" s="23"/>
      <c r="B385" s="23"/>
      <c r="C385" s="23"/>
    </row>
    <row r="386">
      <c r="A386" s="23"/>
      <c r="B386" s="23"/>
      <c r="C386" s="23"/>
    </row>
    <row r="387">
      <c r="A387" s="23"/>
      <c r="B387" s="23"/>
      <c r="C387" s="23"/>
    </row>
    <row r="388">
      <c r="A388" s="23"/>
      <c r="B388" s="23"/>
      <c r="C388" s="23"/>
    </row>
    <row r="389">
      <c r="A389" s="23"/>
      <c r="B389" s="23"/>
      <c r="C389" s="23"/>
    </row>
    <row r="390">
      <c r="A390" s="23"/>
      <c r="B390" s="23"/>
      <c r="C390" s="23"/>
    </row>
    <row r="391">
      <c r="A391" s="23"/>
      <c r="B391" s="23"/>
      <c r="C391" s="23"/>
    </row>
    <row r="392">
      <c r="A392" s="23"/>
      <c r="B392" s="23"/>
      <c r="C392" s="23"/>
    </row>
    <row r="393">
      <c r="A393" s="23"/>
      <c r="B393" s="23"/>
      <c r="C393" s="23"/>
    </row>
    <row r="394">
      <c r="A394" s="23"/>
      <c r="B394" s="23"/>
      <c r="C394" s="23"/>
    </row>
    <row r="395">
      <c r="A395" s="23"/>
      <c r="B395" s="23"/>
      <c r="C395" s="23"/>
    </row>
    <row r="396">
      <c r="A396" s="23"/>
      <c r="B396" s="23"/>
      <c r="C396" s="23"/>
    </row>
    <row r="397">
      <c r="A397" s="23"/>
      <c r="B397" s="23"/>
      <c r="C397" s="23"/>
    </row>
    <row r="398">
      <c r="A398" s="23"/>
      <c r="B398" s="23"/>
      <c r="C398" s="23"/>
    </row>
    <row r="399">
      <c r="A399" s="23"/>
      <c r="B399" s="23"/>
      <c r="C399" s="23"/>
    </row>
    <row r="400">
      <c r="A400" s="23"/>
      <c r="B400" s="23"/>
      <c r="C400" s="23"/>
    </row>
    <row r="401">
      <c r="A401" s="23"/>
      <c r="B401" s="23"/>
      <c r="C401" s="23"/>
    </row>
    <row r="402">
      <c r="A402" s="23"/>
      <c r="B402" s="23"/>
      <c r="C402" s="23"/>
    </row>
    <row r="403">
      <c r="A403" s="23"/>
      <c r="B403" s="23"/>
      <c r="C403" s="23"/>
    </row>
    <row r="404">
      <c r="A404" s="23"/>
      <c r="B404" s="23"/>
      <c r="C404" s="23"/>
    </row>
    <row r="405">
      <c r="A405" s="23"/>
      <c r="B405" s="23"/>
      <c r="C405" s="23"/>
    </row>
    <row r="406">
      <c r="A406" s="23"/>
      <c r="B406" s="23"/>
      <c r="C406" s="23"/>
    </row>
    <row r="407">
      <c r="A407" s="23"/>
      <c r="B407" s="23"/>
      <c r="C407" s="23"/>
    </row>
    <row r="408">
      <c r="A408" s="23"/>
      <c r="B408" s="23"/>
      <c r="C408" s="23"/>
    </row>
    <row r="409">
      <c r="A409" s="23"/>
      <c r="B409" s="23"/>
      <c r="C409" s="23"/>
    </row>
    <row r="410">
      <c r="A410" s="23"/>
      <c r="B410" s="23"/>
      <c r="C410" s="23"/>
    </row>
    <row r="411">
      <c r="A411" s="23"/>
      <c r="B411" s="23"/>
      <c r="C411" s="23"/>
    </row>
    <row r="412">
      <c r="A412" s="23"/>
      <c r="B412" s="23"/>
      <c r="C412" s="23"/>
    </row>
    <row r="413">
      <c r="A413" s="23"/>
      <c r="B413" s="23"/>
      <c r="C413" s="23"/>
    </row>
    <row r="414">
      <c r="A414" s="23"/>
      <c r="B414" s="23"/>
      <c r="C414" s="23"/>
    </row>
    <row r="415">
      <c r="A415" s="23"/>
      <c r="B415" s="23"/>
      <c r="C415" s="23"/>
    </row>
    <row r="416">
      <c r="A416" s="23"/>
      <c r="B416" s="23"/>
      <c r="C416" s="23"/>
    </row>
    <row r="417">
      <c r="A417" s="23"/>
      <c r="B417" s="23"/>
      <c r="C417" s="23"/>
    </row>
    <row r="418">
      <c r="A418" s="23"/>
      <c r="B418" s="23"/>
      <c r="C418" s="23"/>
    </row>
    <row r="419">
      <c r="A419" s="23"/>
      <c r="B419" s="23"/>
      <c r="C419" s="23"/>
    </row>
    <row r="420">
      <c r="A420" s="23"/>
      <c r="B420" s="23"/>
      <c r="C420" s="23"/>
    </row>
    <row r="421">
      <c r="A421" s="23"/>
      <c r="B421" s="23"/>
      <c r="C421" s="23"/>
    </row>
    <row r="422">
      <c r="A422" s="23"/>
      <c r="B422" s="23"/>
      <c r="C422" s="23"/>
    </row>
    <row r="423">
      <c r="A423" s="23"/>
      <c r="B423" s="23"/>
      <c r="C423" s="23"/>
    </row>
    <row r="424">
      <c r="A424" s="23"/>
      <c r="B424" s="23"/>
      <c r="C424" s="23"/>
    </row>
    <row r="425">
      <c r="A425" s="23"/>
      <c r="B425" s="23"/>
      <c r="C425" s="23"/>
    </row>
    <row r="426">
      <c r="A426" s="23"/>
      <c r="B426" s="23"/>
      <c r="C426" s="23"/>
    </row>
    <row r="427">
      <c r="A427" s="23"/>
      <c r="B427" s="23"/>
      <c r="C427" s="23"/>
    </row>
    <row r="428">
      <c r="A428" s="23"/>
      <c r="B428" s="23"/>
      <c r="C428" s="23"/>
    </row>
    <row r="429">
      <c r="A429" s="23"/>
      <c r="B429" s="23"/>
      <c r="C429" s="23"/>
    </row>
    <row r="430">
      <c r="A430" s="23"/>
      <c r="B430" s="23"/>
      <c r="C430" s="23"/>
    </row>
    <row r="431">
      <c r="A431" s="23"/>
      <c r="B431" s="23"/>
      <c r="C431" s="23"/>
    </row>
    <row r="432">
      <c r="A432" s="23"/>
      <c r="B432" s="23"/>
      <c r="C432" s="23"/>
    </row>
    <row r="433">
      <c r="A433" s="23"/>
      <c r="B433" s="23"/>
      <c r="C433" s="23"/>
    </row>
    <row r="434">
      <c r="A434" s="23"/>
      <c r="B434" s="23"/>
      <c r="C434" s="23"/>
    </row>
    <row r="435">
      <c r="A435" s="23"/>
      <c r="B435" s="23"/>
      <c r="C435" s="23"/>
    </row>
    <row r="436">
      <c r="A436" s="23"/>
      <c r="B436" s="23"/>
      <c r="C436" s="23"/>
    </row>
    <row r="437">
      <c r="A437" s="23"/>
      <c r="B437" s="23"/>
      <c r="C437" s="23"/>
    </row>
    <row r="438">
      <c r="A438" s="23"/>
      <c r="B438" s="23"/>
      <c r="C438" s="23"/>
    </row>
    <row r="439">
      <c r="A439" s="23"/>
      <c r="B439" s="23"/>
      <c r="C439" s="23"/>
    </row>
    <row r="440">
      <c r="A440" s="23"/>
      <c r="B440" s="23"/>
      <c r="C440" s="23"/>
    </row>
    <row r="441">
      <c r="A441" s="23"/>
      <c r="B441" s="23"/>
      <c r="C441" s="23"/>
    </row>
    <row r="442">
      <c r="A442" s="23"/>
      <c r="B442" s="23"/>
      <c r="C442" s="23"/>
    </row>
    <row r="443">
      <c r="A443" s="23"/>
      <c r="B443" s="23"/>
      <c r="C443" s="23"/>
    </row>
    <row r="444">
      <c r="A444" s="23"/>
      <c r="B444" s="23"/>
      <c r="C444" s="23"/>
    </row>
    <row r="445">
      <c r="A445" s="23"/>
      <c r="B445" s="23"/>
      <c r="C445" s="23"/>
    </row>
    <row r="446">
      <c r="A446" s="23"/>
      <c r="B446" s="23"/>
      <c r="C446" s="23"/>
    </row>
    <row r="447">
      <c r="A447" s="23"/>
      <c r="B447" s="23"/>
      <c r="C447" s="23"/>
    </row>
    <row r="448">
      <c r="A448" s="23"/>
      <c r="B448" s="23"/>
      <c r="C448" s="23"/>
    </row>
    <row r="449">
      <c r="A449" s="23"/>
      <c r="B449" s="23"/>
      <c r="C449" s="23"/>
    </row>
    <row r="450">
      <c r="A450" s="23"/>
      <c r="B450" s="23"/>
      <c r="C450" s="23"/>
    </row>
    <row r="451">
      <c r="A451" s="23"/>
      <c r="B451" s="23"/>
      <c r="C451" s="23"/>
    </row>
    <row r="452">
      <c r="A452" s="23"/>
      <c r="B452" s="23"/>
      <c r="C452" s="23"/>
    </row>
    <row r="453">
      <c r="A453" s="23"/>
      <c r="B453" s="23"/>
      <c r="C453" s="23"/>
    </row>
    <row r="454">
      <c r="A454" s="23"/>
      <c r="B454" s="23"/>
      <c r="C454" s="23"/>
    </row>
    <row r="455">
      <c r="A455" s="23"/>
      <c r="B455" s="23"/>
      <c r="C455" s="23"/>
    </row>
    <row r="456">
      <c r="A456" s="23"/>
      <c r="B456" s="23"/>
      <c r="C456" s="23"/>
    </row>
    <row r="457">
      <c r="A457" s="23"/>
      <c r="B457" s="23"/>
      <c r="C457" s="23"/>
    </row>
    <row r="458">
      <c r="A458" s="23"/>
      <c r="B458" s="23"/>
      <c r="C458" s="23"/>
    </row>
    <row r="459">
      <c r="A459" s="23"/>
      <c r="B459" s="23"/>
      <c r="C459" s="23"/>
    </row>
    <row r="460">
      <c r="A460" s="23"/>
      <c r="B460" s="23"/>
      <c r="C460" s="23"/>
    </row>
    <row r="461">
      <c r="A461" s="23"/>
      <c r="B461" s="23"/>
      <c r="C461" s="23"/>
    </row>
    <row r="462">
      <c r="A462" s="23"/>
      <c r="B462" s="23"/>
      <c r="C462" s="23"/>
    </row>
    <row r="463">
      <c r="A463" s="23"/>
      <c r="B463" s="23"/>
      <c r="C463" s="23"/>
    </row>
    <row r="464">
      <c r="A464" s="23"/>
      <c r="B464" s="23"/>
      <c r="C464" s="23"/>
    </row>
    <row r="465">
      <c r="A465" s="23"/>
      <c r="B465" s="23"/>
      <c r="C465" s="23"/>
    </row>
    <row r="466">
      <c r="A466" s="23"/>
      <c r="B466" s="23"/>
      <c r="C466" s="23"/>
    </row>
    <row r="467">
      <c r="A467" s="23"/>
      <c r="B467" s="23"/>
      <c r="C467" s="23"/>
    </row>
    <row r="468">
      <c r="A468" s="23"/>
      <c r="B468" s="23"/>
      <c r="C468" s="23"/>
    </row>
    <row r="469">
      <c r="A469" s="23"/>
      <c r="B469" s="23"/>
      <c r="C469" s="23"/>
    </row>
    <row r="470">
      <c r="A470" s="23"/>
      <c r="B470" s="23"/>
      <c r="C470" s="23"/>
    </row>
    <row r="471">
      <c r="A471" s="23"/>
      <c r="B471" s="23"/>
      <c r="C471" s="23"/>
    </row>
    <row r="472">
      <c r="A472" s="23"/>
      <c r="B472" s="23"/>
      <c r="C472" s="23"/>
    </row>
    <row r="473">
      <c r="A473" s="23"/>
      <c r="B473" s="23"/>
      <c r="C473" s="23"/>
    </row>
    <row r="474">
      <c r="A474" s="23"/>
      <c r="B474" s="23"/>
      <c r="C474" s="23"/>
    </row>
    <row r="475">
      <c r="A475" s="23"/>
      <c r="B475" s="23"/>
      <c r="C475" s="23"/>
    </row>
    <row r="476">
      <c r="A476" s="23"/>
      <c r="B476" s="23"/>
      <c r="C476" s="23"/>
    </row>
    <row r="477">
      <c r="A477" s="23"/>
      <c r="B477" s="23"/>
      <c r="C477" s="23"/>
    </row>
    <row r="478">
      <c r="A478" s="23"/>
      <c r="B478" s="23"/>
      <c r="C478" s="23"/>
    </row>
    <row r="479">
      <c r="A479" s="23"/>
      <c r="B479" s="23"/>
      <c r="C479" s="23"/>
    </row>
    <row r="480">
      <c r="A480" s="23"/>
      <c r="B480" s="23"/>
      <c r="C480" s="23"/>
    </row>
    <row r="481">
      <c r="A481" s="23"/>
      <c r="B481" s="23"/>
      <c r="C481" s="23"/>
    </row>
    <row r="482">
      <c r="A482" s="23"/>
      <c r="B482" s="23"/>
      <c r="C482" s="23"/>
    </row>
    <row r="483">
      <c r="A483" s="23"/>
      <c r="B483" s="23"/>
      <c r="C483" s="23"/>
    </row>
    <row r="484">
      <c r="A484" s="23"/>
      <c r="B484" s="23"/>
      <c r="C484" s="23"/>
    </row>
    <row r="485">
      <c r="A485" s="23"/>
      <c r="B485" s="23"/>
      <c r="C485" s="23"/>
    </row>
    <row r="486">
      <c r="A486" s="23"/>
      <c r="B486" s="23"/>
      <c r="C486" s="23"/>
    </row>
    <row r="487">
      <c r="A487" s="23"/>
      <c r="B487" s="23"/>
      <c r="C487" s="23"/>
    </row>
    <row r="488">
      <c r="A488" s="23"/>
      <c r="B488" s="23"/>
      <c r="C488" s="23"/>
    </row>
    <row r="489">
      <c r="A489" s="23"/>
      <c r="B489" s="23"/>
      <c r="C489" s="23"/>
    </row>
    <row r="490">
      <c r="A490" s="23"/>
      <c r="B490" s="23"/>
      <c r="C490" s="23"/>
    </row>
    <row r="491">
      <c r="A491" s="23"/>
      <c r="B491" s="23"/>
      <c r="C491" s="23"/>
    </row>
    <row r="492">
      <c r="A492" s="23"/>
      <c r="B492" s="23"/>
      <c r="C492" s="23"/>
    </row>
    <row r="493">
      <c r="A493" s="23"/>
      <c r="B493" s="23"/>
      <c r="C493" s="23"/>
    </row>
    <row r="494">
      <c r="A494" s="23"/>
      <c r="B494" s="23"/>
      <c r="C494" s="23"/>
    </row>
    <row r="495">
      <c r="A495" s="23"/>
      <c r="B495" s="23"/>
      <c r="C495" s="23"/>
    </row>
    <row r="496">
      <c r="A496" s="23"/>
      <c r="B496" s="23"/>
      <c r="C496" s="23"/>
    </row>
    <row r="497">
      <c r="A497" s="23"/>
      <c r="B497" s="23"/>
      <c r="C497" s="23"/>
    </row>
    <row r="498">
      <c r="A498" s="23"/>
      <c r="B498" s="23"/>
      <c r="C498" s="23"/>
    </row>
    <row r="499">
      <c r="A499" s="23"/>
      <c r="B499" s="23"/>
      <c r="C499" s="23"/>
    </row>
    <row r="500">
      <c r="A500" s="23"/>
      <c r="B500" s="23"/>
      <c r="C500" s="23"/>
    </row>
    <row r="501">
      <c r="A501" s="23"/>
      <c r="B501" s="23"/>
      <c r="C501" s="23"/>
    </row>
    <row r="502">
      <c r="A502" s="23"/>
      <c r="B502" s="23"/>
      <c r="C502" s="23"/>
    </row>
    <row r="503">
      <c r="A503" s="23"/>
      <c r="B503" s="23"/>
      <c r="C503" s="23"/>
    </row>
    <row r="504">
      <c r="A504" s="23"/>
      <c r="B504" s="23"/>
      <c r="C504" s="23"/>
    </row>
    <row r="505">
      <c r="A505" s="23"/>
      <c r="B505" s="23"/>
      <c r="C505" s="23"/>
    </row>
    <row r="506">
      <c r="A506" s="23"/>
      <c r="B506" s="23"/>
      <c r="C506" s="23"/>
    </row>
    <row r="507">
      <c r="A507" s="23"/>
      <c r="B507" s="23"/>
      <c r="C507" s="23"/>
    </row>
    <row r="508">
      <c r="A508" s="23"/>
      <c r="B508" s="23"/>
      <c r="C508" s="23"/>
    </row>
    <row r="509">
      <c r="A509" s="23"/>
      <c r="B509" s="23"/>
      <c r="C509" s="23"/>
    </row>
    <row r="510">
      <c r="A510" s="23"/>
      <c r="B510" s="23"/>
      <c r="C510" s="23"/>
    </row>
    <row r="511">
      <c r="A511" s="23"/>
      <c r="B511" s="23"/>
      <c r="C511" s="23"/>
    </row>
    <row r="512">
      <c r="A512" s="23"/>
      <c r="B512" s="23"/>
      <c r="C512" s="23"/>
    </row>
    <row r="513">
      <c r="A513" s="23"/>
      <c r="B513" s="23"/>
      <c r="C513" s="23"/>
    </row>
    <row r="514">
      <c r="A514" s="23"/>
      <c r="B514" s="23"/>
      <c r="C514" s="23"/>
    </row>
    <row r="515">
      <c r="A515" s="23"/>
      <c r="B515" s="23"/>
      <c r="C515" s="23"/>
    </row>
    <row r="516">
      <c r="A516" s="23"/>
      <c r="B516" s="23"/>
      <c r="C516" s="23"/>
    </row>
    <row r="517">
      <c r="A517" s="23"/>
      <c r="B517" s="23"/>
      <c r="C517" s="23"/>
    </row>
    <row r="518">
      <c r="A518" s="23"/>
      <c r="B518" s="23"/>
      <c r="C518" s="23"/>
    </row>
    <row r="519">
      <c r="A519" s="23"/>
      <c r="B519" s="23"/>
      <c r="C519" s="23"/>
    </row>
    <row r="520">
      <c r="A520" s="23"/>
      <c r="B520" s="23"/>
      <c r="C520" s="23"/>
    </row>
    <row r="521">
      <c r="A521" s="23"/>
      <c r="B521" s="23"/>
      <c r="C521" s="23"/>
    </row>
    <row r="522">
      <c r="A522" s="23"/>
      <c r="B522" s="23"/>
      <c r="C522" s="23"/>
    </row>
    <row r="523">
      <c r="A523" s="23"/>
      <c r="B523" s="23"/>
      <c r="C523" s="23"/>
    </row>
    <row r="524">
      <c r="A524" s="23"/>
      <c r="B524" s="23"/>
      <c r="C524" s="23"/>
    </row>
    <row r="525">
      <c r="A525" s="23"/>
      <c r="B525" s="23"/>
      <c r="C525" s="23"/>
    </row>
    <row r="526">
      <c r="A526" s="23"/>
      <c r="B526" s="23"/>
      <c r="C526" s="23"/>
    </row>
    <row r="527">
      <c r="A527" s="23"/>
      <c r="B527" s="23"/>
      <c r="C527" s="23"/>
    </row>
    <row r="528">
      <c r="A528" s="23"/>
      <c r="B528" s="23"/>
      <c r="C528" s="23"/>
    </row>
    <row r="529">
      <c r="A529" s="23"/>
      <c r="B529" s="23"/>
      <c r="C529" s="23"/>
    </row>
    <row r="530">
      <c r="A530" s="23"/>
      <c r="B530" s="23"/>
      <c r="C530" s="23"/>
    </row>
    <row r="531">
      <c r="A531" s="23"/>
      <c r="B531" s="23"/>
      <c r="C531" s="23"/>
    </row>
    <row r="532">
      <c r="A532" s="23"/>
      <c r="B532" s="23"/>
      <c r="C532" s="23"/>
    </row>
    <row r="533">
      <c r="A533" s="23"/>
      <c r="B533" s="23"/>
      <c r="C533" s="23"/>
    </row>
    <row r="534">
      <c r="A534" s="23"/>
      <c r="B534" s="23"/>
      <c r="C534" s="23"/>
    </row>
    <row r="535">
      <c r="A535" s="23"/>
      <c r="B535" s="23"/>
      <c r="C535" s="23"/>
    </row>
    <row r="536">
      <c r="A536" s="23"/>
      <c r="B536" s="23"/>
      <c r="C536" s="23"/>
    </row>
    <row r="537">
      <c r="A537" s="23"/>
      <c r="B537" s="23"/>
      <c r="C537" s="23"/>
    </row>
    <row r="538">
      <c r="A538" s="23"/>
      <c r="B538" s="23"/>
      <c r="C538" s="23"/>
    </row>
    <row r="539">
      <c r="A539" s="23"/>
      <c r="B539" s="23"/>
      <c r="C539" s="23"/>
    </row>
    <row r="540">
      <c r="A540" s="23"/>
      <c r="B540" s="23"/>
      <c r="C540" s="23"/>
    </row>
    <row r="541">
      <c r="A541" s="23"/>
      <c r="B541" s="23"/>
      <c r="C541" s="23"/>
    </row>
    <row r="542">
      <c r="A542" s="23"/>
      <c r="B542" s="23"/>
      <c r="C542" s="23"/>
    </row>
    <row r="543">
      <c r="A543" s="23"/>
      <c r="B543" s="23"/>
      <c r="C543" s="23"/>
    </row>
    <row r="544">
      <c r="A544" s="23"/>
      <c r="B544" s="23"/>
      <c r="C544" s="23"/>
    </row>
    <row r="545">
      <c r="A545" s="23"/>
      <c r="B545" s="23"/>
      <c r="C545" s="23"/>
    </row>
    <row r="546">
      <c r="A546" s="23"/>
      <c r="B546" s="23"/>
      <c r="C546" s="23"/>
    </row>
    <row r="547">
      <c r="A547" s="23"/>
      <c r="B547" s="23"/>
      <c r="C547" s="23"/>
    </row>
    <row r="548">
      <c r="A548" s="23"/>
      <c r="B548" s="23"/>
      <c r="C548" s="23"/>
    </row>
    <row r="549">
      <c r="A549" s="23"/>
      <c r="B549" s="23"/>
      <c r="C549" s="23"/>
    </row>
    <row r="550">
      <c r="A550" s="23"/>
      <c r="B550" s="23"/>
      <c r="C550" s="23"/>
    </row>
    <row r="551">
      <c r="A551" s="23"/>
      <c r="B551" s="23"/>
      <c r="C551" s="23"/>
    </row>
    <row r="552">
      <c r="A552" s="23"/>
      <c r="B552" s="23"/>
      <c r="C552" s="23"/>
    </row>
    <row r="553">
      <c r="A553" s="23"/>
      <c r="B553" s="23"/>
      <c r="C553" s="23"/>
    </row>
    <row r="554">
      <c r="A554" s="23"/>
      <c r="B554" s="23"/>
      <c r="C554" s="23"/>
    </row>
    <row r="555">
      <c r="A555" s="23"/>
      <c r="B555" s="23"/>
      <c r="C555" s="23"/>
    </row>
    <row r="556">
      <c r="A556" s="23"/>
      <c r="B556" s="23"/>
      <c r="C556" s="23"/>
    </row>
    <row r="557">
      <c r="A557" s="23"/>
      <c r="B557" s="23"/>
      <c r="C557" s="23"/>
    </row>
    <row r="558">
      <c r="A558" s="23"/>
      <c r="B558" s="23"/>
      <c r="C558" s="23"/>
    </row>
    <row r="559">
      <c r="A559" s="23"/>
      <c r="B559" s="23"/>
      <c r="C559" s="23"/>
    </row>
    <row r="560">
      <c r="A560" s="23"/>
      <c r="B560" s="23"/>
      <c r="C560" s="23"/>
    </row>
    <row r="561">
      <c r="A561" s="23"/>
      <c r="B561" s="23"/>
      <c r="C561" s="23"/>
    </row>
    <row r="562">
      <c r="A562" s="23"/>
      <c r="B562" s="23"/>
      <c r="C562" s="23"/>
    </row>
    <row r="563">
      <c r="A563" s="23"/>
      <c r="B563" s="23"/>
      <c r="C563" s="23"/>
    </row>
    <row r="564">
      <c r="A564" s="23"/>
      <c r="B564" s="23"/>
      <c r="C564" s="23"/>
    </row>
    <row r="565">
      <c r="A565" s="23"/>
      <c r="B565" s="23"/>
      <c r="C565" s="23"/>
    </row>
    <row r="566">
      <c r="A566" s="23"/>
      <c r="B566" s="23"/>
      <c r="C566" s="23"/>
    </row>
    <row r="567">
      <c r="A567" s="23"/>
      <c r="B567" s="23"/>
      <c r="C567" s="23"/>
    </row>
    <row r="568">
      <c r="A568" s="23"/>
      <c r="B568" s="23"/>
      <c r="C568" s="23"/>
    </row>
    <row r="569">
      <c r="A569" s="23"/>
      <c r="B569" s="23"/>
      <c r="C569" s="23"/>
    </row>
    <row r="570">
      <c r="A570" s="23"/>
      <c r="B570" s="23"/>
      <c r="C570" s="23"/>
    </row>
    <row r="571">
      <c r="A571" s="23"/>
      <c r="B571" s="23"/>
      <c r="C571" s="23"/>
    </row>
    <row r="572">
      <c r="A572" s="23"/>
      <c r="B572" s="23"/>
      <c r="C572" s="23"/>
    </row>
    <row r="573">
      <c r="A573" s="23"/>
      <c r="B573" s="23"/>
      <c r="C573" s="23"/>
    </row>
    <row r="574">
      <c r="A574" s="23"/>
      <c r="B574" s="23"/>
      <c r="C574" s="23"/>
    </row>
    <row r="575">
      <c r="A575" s="23"/>
      <c r="B575" s="23"/>
      <c r="C575" s="23"/>
    </row>
    <row r="576">
      <c r="A576" s="23"/>
      <c r="B576" s="23"/>
      <c r="C576" s="23"/>
    </row>
    <row r="577">
      <c r="A577" s="23"/>
      <c r="B577" s="23"/>
      <c r="C577" s="23"/>
    </row>
    <row r="578">
      <c r="A578" s="23"/>
      <c r="B578" s="23"/>
      <c r="C578" s="23"/>
    </row>
    <row r="579">
      <c r="A579" s="23"/>
      <c r="B579" s="23"/>
      <c r="C579" s="23"/>
    </row>
    <row r="580">
      <c r="A580" s="23"/>
      <c r="B580" s="23"/>
      <c r="C580" s="23"/>
    </row>
    <row r="581">
      <c r="A581" s="23"/>
      <c r="B581" s="23"/>
      <c r="C581" s="23"/>
    </row>
    <row r="582">
      <c r="A582" s="23"/>
      <c r="B582" s="23"/>
      <c r="C582" s="23"/>
    </row>
    <row r="583">
      <c r="A583" s="23"/>
      <c r="B583" s="23"/>
      <c r="C583" s="23"/>
    </row>
    <row r="584">
      <c r="A584" s="23"/>
      <c r="B584" s="23"/>
      <c r="C584" s="23"/>
    </row>
    <row r="585">
      <c r="A585" s="23"/>
      <c r="B585" s="23"/>
      <c r="C585" s="23"/>
    </row>
    <row r="586">
      <c r="A586" s="23"/>
      <c r="B586" s="23"/>
      <c r="C586" s="23"/>
    </row>
    <row r="587">
      <c r="A587" s="23"/>
      <c r="B587" s="23"/>
      <c r="C587" s="23"/>
    </row>
    <row r="588">
      <c r="A588" s="23"/>
      <c r="B588" s="23"/>
      <c r="C588" s="23"/>
    </row>
    <row r="589">
      <c r="A589" s="23"/>
      <c r="B589" s="23"/>
      <c r="C589" s="23"/>
    </row>
    <row r="590">
      <c r="A590" s="23"/>
      <c r="B590" s="23"/>
      <c r="C590" s="23"/>
    </row>
    <row r="591">
      <c r="A591" s="23"/>
      <c r="B591" s="23"/>
      <c r="C591" s="23"/>
    </row>
    <row r="592">
      <c r="A592" s="23"/>
      <c r="B592" s="23"/>
      <c r="C592" s="23"/>
    </row>
    <row r="593">
      <c r="A593" s="23"/>
      <c r="B593" s="23"/>
      <c r="C593" s="23"/>
    </row>
    <row r="594">
      <c r="A594" s="23"/>
      <c r="B594" s="23"/>
      <c r="C594" s="23"/>
    </row>
    <row r="595">
      <c r="A595" s="23"/>
      <c r="B595" s="23"/>
      <c r="C595" s="23"/>
    </row>
    <row r="596">
      <c r="A596" s="23"/>
      <c r="B596" s="23"/>
      <c r="C596" s="23"/>
    </row>
    <row r="597">
      <c r="A597" s="23"/>
      <c r="B597" s="23"/>
      <c r="C597" s="23"/>
    </row>
    <row r="598">
      <c r="A598" s="23"/>
      <c r="B598" s="23"/>
      <c r="C598" s="23"/>
    </row>
    <row r="599">
      <c r="A599" s="23"/>
      <c r="B599" s="23"/>
      <c r="C599" s="23"/>
    </row>
    <row r="600">
      <c r="A600" s="23"/>
      <c r="B600" s="23"/>
      <c r="C600" s="23"/>
    </row>
    <row r="601">
      <c r="A601" s="23"/>
      <c r="B601" s="23"/>
      <c r="C601" s="23"/>
    </row>
    <row r="602">
      <c r="A602" s="23"/>
      <c r="B602" s="23"/>
      <c r="C602" s="23"/>
    </row>
    <row r="603">
      <c r="A603" s="23"/>
      <c r="B603" s="23"/>
      <c r="C603" s="23"/>
    </row>
    <row r="604">
      <c r="A604" s="23"/>
      <c r="B604" s="23"/>
      <c r="C604" s="23"/>
    </row>
    <row r="605">
      <c r="A605" s="23"/>
      <c r="B605" s="23"/>
      <c r="C605" s="23"/>
    </row>
    <row r="606">
      <c r="A606" s="23"/>
      <c r="B606" s="23"/>
      <c r="C606" s="23"/>
    </row>
    <row r="607">
      <c r="A607" s="23"/>
      <c r="B607" s="23"/>
      <c r="C607" s="23"/>
    </row>
    <row r="608">
      <c r="A608" s="23"/>
      <c r="B608" s="23"/>
      <c r="C608" s="23"/>
    </row>
    <row r="609">
      <c r="A609" s="23"/>
      <c r="B609" s="23"/>
      <c r="C609" s="23"/>
    </row>
    <row r="610">
      <c r="A610" s="23"/>
      <c r="B610" s="23"/>
      <c r="C610" s="23"/>
    </row>
    <row r="611">
      <c r="A611" s="23"/>
      <c r="B611" s="23"/>
      <c r="C611" s="23"/>
    </row>
    <row r="612">
      <c r="A612" s="23"/>
      <c r="B612" s="23"/>
      <c r="C612" s="23"/>
    </row>
    <row r="613">
      <c r="A613" s="23"/>
      <c r="B613" s="23"/>
      <c r="C613" s="23"/>
    </row>
    <row r="614">
      <c r="A614" s="23"/>
      <c r="B614" s="23"/>
      <c r="C614" s="23"/>
    </row>
    <row r="615">
      <c r="A615" s="23"/>
      <c r="B615" s="23"/>
      <c r="C615" s="23"/>
    </row>
    <row r="616">
      <c r="A616" s="23"/>
      <c r="B616" s="23"/>
      <c r="C616" s="23"/>
    </row>
    <row r="617">
      <c r="A617" s="23"/>
      <c r="B617" s="23"/>
      <c r="C617" s="23"/>
    </row>
    <row r="618">
      <c r="A618" s="23"/>
      <c r="B618" s="23"/>
      <c r="C618" s="23"/>
    </row>
    <row r="619">
      <c r="A619" s="23"/>
      <c r="B619" s="23"/>
      <c r="C619" s="23"/>
    </row>
    <row r="620">
      <c r="A620" s="23"/>
      <c r="B620" s="23"/>
      <c r="C620" s="23"/>
    </row>
    <row r="621">
      <c r="A621" s="23"/>
      <c r="B621" s="23"/>
      <c r="C621" s="23"/>
    </row>
    <row r="622">
      <c r="A622" s="23"/>
      <c r="B622" s="23"/>
      <c r="C622" s="23"/>
    </row>
    <row r="623">
      <c r="A623" s="23"/>
      <c r="B623" s="23"/>
      <c r="C623" s="23"/>
    </row>
    <row r="624">
      <c r="A624" s="23"/>
      <c r="B624" s="23"/>
      <c r="C624" s="23"/>
    </row>
    <row r="625">
      <c r="A625" s="23"/>
      <c r="B625" s="23"/>
      <c r="C625" s="23"/>
    </row>
    <row r="626">
      <c r="A626" s="23"/>
      <c r="B626" s="23"/>
      <c r="C626" s="23"/>
    </row>
    <row r="627">
      <c r="A627" s="23"/>
      <c r="B627" s="23"/>
      <c r="C627" s="23"/>
    </row>
    <row r="628">
      <c r="A628" s="23"/>
      <c r="B628" s="23"/>
      <c r="C628" s="23"/>
    </row>
    <row r="629">
      <c r="A629" s="23"/>
      <c r="B629" s="23"/>
      <c r="C629" s="23"/>
    </row>
    <row r="630">
      <c r="A630" s="23"/>
      <c r="B630" s="23"/>
      <c r="C630" s="23"/>
    </row>
    <row r="631">
      <c r="A631" s="23"/>
      <c r="B631" s="23"/>
      <c r="C631" s="23"/>
    </row>
    <row r="632">
      <c r="A632" s="23"/>
      <c r="B632" s="23"/>
      <c r="C632" s="23"/>
    </row>
    <row r="633">
      <c r="A633" s="23"/>
      <c r="B633" s="23"/>
      <c r="C633" s="23"/>
    </row>
    <row r="634">
      <c r="A634" s="23"/>
      <c r="B634" s="23"/>
      <c r="C634" s="23"/>
    </row>
    <row r="635">
      <c r="A635" s="23"/>
      <c r="B635" s="23"/>
      <c r="C635" s="23"/>
    </row>
    <row r="636">
      <c r="A636" s="23"/>
      <c r="B636" s="23"/>
      <c r="C636" s="23"/>
    </row>
    <row r="637">
      <c r="A637" s="23"/>
      <c r="B637" s="23"/>
      <c r="C637" s="23"/>
    </row>
    <row r="638">
      <c r="A638" s="23"/>
      <c r="B638" s="23"/>
      <c r="C638" s="23"/>
    </row>
    <row r="639">
      <c r="A639" s="23"/>
      <c r="B639" s="23"/>
      <c r="C639" s="23"/>
    </row>
    <row r="640">
      <c r="A640" s="23"/>
      <c r="B640" s="23"/>
      <c r="C640" s="23"/>
    </row>
    <row r="641">
      <c r="A641" s="23"/>
      <c r="B641" s="23"/>
      <c r="C641" s="23"/>
    </row>
    <row r="642">
      <c r="A642" s="23"/>
      <c r="B642" s="23"/>
      <c r="C642" s="23"/>
    </row>
    <row r="643">
      <c r="A643" s="23"/>
      <c r="B643" s="23"/>
      <c r="C643" s="23"/>
    </row>
    <row r="644">
      <c r="A644" s="23"/>
      <c r="B644" s="23"/>
      <c r="C644" s="23"/>
    </row>
    <row r="645">
      <c r="A645" s="23"/>
      <c r="B645" s="23"/>
      <c r="C645" s="23"/>
    </row>
    <row r="646">
      <c r="A646" s="23"/>
      <c r="B646" s="23"/>
      <c r="C646" s="23"/>
    </row>
    <row r="647">
      <c r="A647" s="23"/>
      <c r="B647" s="23"/>
      <c r="C647" s="23"/>
    </row>
    <row r="648">
      <c r="A648" s="23"/>
      <c r="B648" s="23"/>
      <c r="C648" s="23"/>
    </row>
    <row r="649">
      <c r="A649" s="23"/>
      <c r="B649" s="23"/>
      <c r="C649" s="23"/>
    </row>
    <row r="650">
      <c r="A650" s="23"/>
      <c r="B650" s="23"/>
      <c r="C650" s="23"/>
    </row>
    <row r="651">
      <c r="A651" s="23"/>
      <c r="B651" s="23"/>
      <c r="C651" s="23"/>
    </row>
    <row r="652">
      <c r="A652" s="23"/>
      <c r="B652" s="23"/>
      <c r="C652" s="23"/>
    </row>
    <row r="653">
      <c r="A653" s="23"/>
      <c r="B653" s="23"/>
      <c r="C653" s="23"/>
    </row>
    <row r="654">
      <c r="A654" s="23"/>
      <c r="B654" s="23"/>
      <c r="C654" s="23"/>
    </row>
    <row r="655">
      <c r="A655" s="23"/>
      <c r="B655" s="23"/>
      <c r="C655" s="23"/>
    </row>
    <row r="656">
      <c r="A656" s="23"/>
      <c r="B656" s="23"/>
      <c r="C656" s="23"/>
    </row>
    <row r="657">
      <c r="A657" s="23"/>
      <c r="B657" s="23"/>
      <c r="C657" s="23"/>
    </row>
    <row r="658">
      <c r="A658" s="23"/>
      <c r="B658" s="23"/>
      <c r="C658" s="23"/>
    </row>
    <row r="659">
      <c r="A659" s="23"/>
      <c r="B659" s="23"/>
      <c r="C659" s="23"/>
    </row>
    <row r="660">
      <c r="A660" s="23"/>
      <c r="B660" s="23"/>
      <c r="C660" s="23"/>
    </row>
    <row r="661">
      <c r="A661" s="23"/>
      <c r="B661" s="23"/>
      <c r="C661" s="23"/>
    </row>
    <row r="662">
      <c r="A662" s="23"/>
      <c r="B662" s="23"/>
      <c r="C662" s="23"/>
    </row>
    <row r="663">
      <c r="A663" s="23"/>
      <c r="B663" s="23"/>
      <c r="C663" s="23"/>
    </row>
    <row r="664">
      <c r="A664" s="23"/>
      <c r="B664" s="23"/>
      <c r="C664" s="23"/>
    </row>
    <row r="665">
      <c r="A665" s="23"/>
      <c r="B665" s="23"/>
      <c r="C665" s="23"/>
    </row>
    <row r="666">
      <c r="A666" s="23"/>
      <c r="B666" s="23"/>
      <c r="C666" s="23"/>
    </row>
    <row r="667">
      <c r="A667" s="23"/>
      <c r="B667" s="23"/>
      <c r="C667" s="23"/>
    </row>
    <row r="668">
      <c r="A668" s="23"/>
      <c r="B668" s="23"/>
      <c r="C668" s="23"/>
    </row>
    <row r="669">
      <c r="A669" s="23"/>
      <c r="B669" s="23"/>
      <c r="C669" s="23"/>
    </row>
    <row r="670">
      <c r="A670" s="23"/>
      <c r="B670" s="23"/>
      <c r="C670" s="23"/>
    </row>
    <row r="671">
      <c r="A671" s="23"/>
      <c r="B671" s="23"/>
      <c r="C671" s="23"/>
    </row>
    <row r="672">
      <c r="A672" s="23"/>
      <c r="B672" s="23"/>
      <c r="C672" s="23"/>
    </row>
    <row r="673">
      <c r="A673" s="23"/>
      <c r="B673" s="23"/>
      <c r="C673" s="23"/>
    </row>
    <row r="674">
      <c r="A674" s="23"/>
      <c r="B674" s="23"/>
      <c r="C674" s="23"/>
    </row>
    <row r="675">
      <c r="A675" s="23"/>
      <c r="B675" s="23"/>
      <c r="C675" s="23"/>
    </row>
    <row r="676">
      <c r="A676" s="23"/>
      <c r="B676" s="23"/>
      <c r="C676" s="23"/>
    </row>
    <row r="677">
      <c r="A677" s="23"/>
      <c r="B677" s="23"/>
      <c r="C677" s="23"/>
    </row>
    <row r="678">
      <c r="A678" s="23"/>
      <c r="B678" s="23"/>
      <c r="C678" s="23"/>
    </row>
    <row r="679">
      <c r="A679" s="23"/>
      <c r="B679" s="23"/>
      <c r="C679" s="23"/>
    </row>
    <row r="680">
      <c r="A680" s="23"/>
      <c r="B680" s="23"/>
      <c r="C680" s="23"/>
    </row>
    <row r="681">
      <c r="A681" s="23"/>
      <c r="B681" s="23"/>
      <c r="C681" s="23"/>
    </row>
    <row r="682">
      <c r="A682" s="23"/>
      <c r="B682" s="23"/>
      <c r="C682" s="23"/>
    </row>
    <row r="683">
      <c r="A683" s="23"/>
      <c r="B683" s="23"/>
      <c r="C683" s="23"/>
    </row>
    <row r="684">
      <c r="A684" s="23"/>
      <c r="B684" s="23"/>
      <c r="C684" s="23"/>
    </row>
    <row r="685">
      <c r="A685" s="23"/>
      <c r="B685" s="23"/>
      <c r="C685" s="23"/>
    </row>
    <row r="686">
      <c r="A686" s="23"/>
      <c r="B686" s="23"/>
      <c r="C686" s="23"/>
    </row>
    <row r="687">
      <c r="A687" s="23"/>
      <c r="B687" s="23"/>
      <c r="C687" s="23"/>
    </row>
    <row r="688">
      <c r="A688" s="23"/>
      <c r="B688" s="23"/>
      <c r="C688" s="23"/>
    </row>
    <row r="689">
      <c r="A689" s="23"/>
      <c r="B689" s="23"/>
      <c r="C689" s="23"/>
    </row>
    <row r="690">
      <c r="A690" s="23"/>
      <c r="B690" s="23"/>
      <c r="C690" s="23"/>
    </row>
    <row r="691">
      <c r="A691" s="23"/>
      <c r="B691" s="23"/>
      <c r="C691" s="23"/>
    </row>
    <row r="692">
      <c r="A692" s="23"/>
      <c r="B692" s="23"/>
      <c r="C692" s="23"/>
    </row>
    <row r="693">
      <c r="A693" s="23"/>
      <c r="B693" s="23"/>
      <c r="C693" s="23"/>
    </row>
    <row r="694">
      <c r="A694" s="23"/>
      <c r="B694" s="23"/>
      <c r="C694" s="23"/>
    </row>
    <row r="695">
      <c r="A695" s="23"/>
      <c r="B695" s="23"/>
      <c r="C695" s="23"/>
    </row>
    <row r="696">
      <c r="A696" s="23"/>
      <c r="B696" s="23"/>
      <c r="C696" s="23"/>
    </row>
    <row r="697">
      <c r="A697" s="23"/>
      <c r="B697" s="23"/>
      <c r="C697" s="23"/>
    </row>
    <row r="698">
      <c r="A698" s="23"/>
      <c r="B698" s="23"/>
      <c r="C698" s="23"/>
    </row>
    <row r="699">
      <c r="A699" s="23"/>
      <c r="B699" s="23"/>
      <c r="C699" s="23"/>
    </row>
    <row r="700">
      <c r="A700" s="23"/>
      <c r="B700" s="23"/>
      <c r="C700" s="23"/>
    </row>
    <row r="701">
      <c r="A701" s="23"/>
      <c r="B701" s="23"/>
      <c r="C701" s="23"/>
    </row>
    <row r="702">
      <c r="A702" s="23"/>
      <c r="B702" s="23"/>
      <c r="C702" s="23"/>
    </row>
    <row r="703">
      <c r="A703" s="23"/>
      <c r="B703" s="23"/>
      <c r="C703" s="23"/>
    </row>
    <row r="704">
      <c r="A704" s="23"/>
      <c r="B704" s="23"/>
      <c r="C704" s="23"/>
    </row>
    <row r="705">
      <c r="A705" s="23"/>
      <c r="B705" s="23"/>
      <c r="C705" s="23"/>
    </row>
    <row r="706">
      <c r="A706" s="23"/>
      <c r="B706" s="23"/>
      <c r="C706" s="23"/>
    </row>
    <row r="707">
      <c r="A707" s="23"/>
      <c r="B707" s="23"/>
      <c r="C707" s="23"/>
    </row>
    <row r="708">
      <c r="A708" s="23"/>
      <c r="B708" s="23"/>
      <c r="C708" s="23"/>
    </row>
    <row r="709">
      <c r="A709" s="23"/>
      <c r="B709" s="23"/>
      <c r="C709" s="23"/>
    </row>
    <row r="710">
      <c r="A710" s="23"/>
      <c r="B710" s="23"/>
      <c r="C710" s="23"/>
    </row>
    <row r="711">
      <c r="A711" s="23"/>
      <c r="B711" s="23"/>
      <c r="C711" s="23"/>
    </row>
    <row r="712">
      <c r="A712" s="23"/>
      <c r="B712" s="23"/>
      <c r="C712" s="23"/>
    </row>
    <row r="713">
      <c r="A713" s="23"/>
      <c r="B713" s="23"/>
      <c r="C713" s="23"/>
    </row>
    <row r="714">
      <c r="A714" s="23"/>
      <c r="B714" s="23"/>
      <c r="C714" s="23"/>
    </row>
    <row r="715">
      <c r="A715" s="23"/>
      <c r="B715" s="23"/>
      <c r="C715" s="23"/>
    </row>
    <row r="716">
      <c r="A716" s="23"/>
      <c r="B716" s="23"/>
      <c r="C716" s="23"/>
    </row>
    <row r="717">
      <c r="A717" s="23"/>
      <c r="B717" s="23"/>
      <c r="C717" s="23"/>
    </row>
    <row r="718">
      <c r="A718" s="23"/>
      <c r="B718" s="23"/>
      <c r="C718" s="23"/>
    </row>
    <row r="719">
      <c r="A719" s="23"/>
      <c r="B719" s="23"/>
      <c r="C719" s="23"/>
    </row>
    <row r="720">
      <c r="A720" s="23"/>
      <c r="B720" s="23"/>
      <c r="C720" s="23"/>
    </row>
    <row r="721">
      <c r="A721" s="23"/>
      <c r="B721" s="23"/>
      <c r="C721" s="23"/>
    </row>
    <row r="722">
      <c r="A722" s="23"/>
      <c r="B722" s="23"/>
      <c r="C722" s="23"/>
    </row>
    <row r="723">
      <c r="A723" s="23"/>
      <c r="B723" s="23"/>
      <c r="C723" s="23"/>
    </row>
    <row r="724">
      <c r="A724" s="23"/>
      <c r="B724" s="23"/>
      <c r="C724" s="23"/>
    </row>
    <row r="725">
      <c r="A725" s="23"/>
      <c r="B725" s="23"/>
      <c r="C725" s="23"/>
    </row>
    <row r="726">
      <c r="A726" s="23"/>
      <c r="B726" s="23"/>
      <c r="C726" s="23"/>
    </row>
    <row r="727">
      <c r="A727" s="23"/>
      <c r="B727" s="23"/>
      <c r="C727" s="23"/>
    </row>
    <row r="728">
      <c r="A728" s="23"/>
      <c r="B728" s="23"/>
      <c r="C728" s="23"/>
    </row>
    <row r="729">
      <c r="A729" s="23"/>
      <c r="B729" s="23"/>
      <c r="C729" s="23"/>
    </row>
    <row r="730">
      <c r="A730" s="23"/>
      <c r="B730" s="23"/>
      <c r="C730" s="23"/>
    </row>
    <row r="731">
      <c r="A731" s="23"/>
      <c r="B731" s="23"/>
      <c r="C731" s="23"/>
    </row>
    <row r="732">
      <c r="A732" s="23"/>
      <c r="B732" s="23"/>
      <c r="C732" s="23"/>
    </row>
    <row r="733">
      <c r="A733" s="23"/>
      <c r="B733" s="23"/>
      <c r="C733" s="23"/>
    </row>
    <row r="734">
      <c r="A734" s="23"/>
      <c r="B734" s="23"/>
      <c r="C734" s="23"/>
    </row>
    <row r="735">
      <c r="A735" s="23"/>
      <c r="B735" s="23"/>
      <c r="C735" s="23"/>
    </row>
    <row r="736">
      <c r="A736" s="23"/>
      <c r="B736" s="23"/>
      <c r="C736" s="23"/>
    </row>
    <row r="737">
      <c r="A737" s="23"/>
      <c r="B737" s="23"/>
      <c r="C737" s="23"/>
    </row>
    <row r="738">
      <c r="A738" s="23"/>
      <c r="B738" s="23"/>
      <c r="C738" s="23"/>
    </row>
    <row r="739">
      <c r="A739" s="23"/>
      <c r="B739" s="23"/>
      <c r="C739" s="23"/>
    </row>
    <row r="740">
      <c r="A740" s="23"/>
      <c r="B740" s="23"/>
      <c r="C740" s="23"/>
    </row>
    <row r="741">
      <c r="A741" s="23"/>
      <c r="B741" s="23"/>
      <c r="C741" s="23"/>
    </row>
    <row r="742">
      <c r="A742" s="23"/>
      <c r="B742" s="23"/>
      <c r="C742" s="23"/>
    </row>
    <row r="743">
      <c r="A743" s="23"/>
      <c r="B743" s="23"/>
      <c r="C743" s="23"/>
    </row>
    <row r="744">
      <c r="A744" s="23"/>
      <c r="B744" s="23"/>
      <c r="C744" s="23"/>
    </row>
    <row r="745">
      <c r="A745" s="23"/>
      <c r="B745" s="23"/>
      <c r="C745" s="23"/>
    </row>
    <row r="746">
      <c r="A746" s="23"/>
      <c r="B746" s="23"/>
      <c r="C746" s="23"/>
    </row>
    <row r="747">
      <c r="A747" s="23"/>
      <c r="B747" s="23"/>
      <c r="C747" s="23"/>
    </row>
    <row r="748">
      <c r="A748" s="23"/>
      <c r="B748" s="23"/>
      <c r="C748" s="23"/>
    </row>
    <row r="749">
      <c r="A749" s="23"/>
      <c r="B749" s="23"/>
      <c r="C749" s="23"/>
    </row>
    <row r="750">
      <c r="A750" s="23"/>
      <c r="B750" s="23"/>
      <c r="C750" s="23"/>
    </row>
    <row r="751">
      <c r="A751" s="23"/>
      <c r="B751" s="23"/>
      <c r="C751" s="23"/>
    </row>
    <row r="752">
      <c r="A752" s="23"/>
      <c r="B752" s="23"/>
      <c r="C752" s="23"/>
    </row>
    <row r="753">
      <c r="A753" s="23"/>
      <c r="B753" s="23"/>
      <c r="C753" s="23"/>
    </row>
    <row r="754">
      <c r="A754" s="23"/>
      <c r="B754" s="23"/>
      <c r="C754" s="23"/>
    </row>
    <row r="755">
      <c r="A755" s="23"/>
      <c r="B755" s="23"/>
      <c r="C755" s="23"/>
    </row>
    <row r="756">
      <c r="A756" s="23"/>
      <c r="B756" s="23"/>
      <c r="C756" s="23"/>
    </row>
    <row r="757">
      <c r="A757" s="23"/>
      <c r="B757" s="23"/>
      <c r="C757" s="23"/>
    </row>
    <row r="758">
      <c r="A758" s="23"/>
      <c r="B758" s="23"/>
      <c r="C758" s="23"/>
    </row>
    <row r="759">
      <c r="A759" s="23"/>
      <c r="B759" s="23"/>
      <c r="C759" s="23"/>
    </row>
    <row r="760">
      <c r="A760" s="23"/>
      <c r="B760" s="23"/>
      <c r="C760" s="23"/>
    </row>
    <row r="761">
      <c r="A761" s="23"/>
      <c r="B761" s="23"/>
      <c r="C761" s="23"/>
    </row>
    <row r="762">
      <c r="A762" s="23"/>
      <c r="B762" s="23"/>
      <c r="C762" s="23"/>
    </row>
    <row r="763">
      <c r="A763" s="23"/>
      <c r="B763" s="23"/>
      <c r="C763" s="23"/>
    </row>
    <row r="764">
      <c r="A764" s="23"/>
      <c r="B764" s="23"/>
      <c r="C764" s="23"/>
    </row>
    <row r="765">
      <c r="A765" s="23"/>
      <c r="B765" s="23"/>
      <c r="C765" s="23"/>
    </row>
    <row r="766">
      <c r="A766" s="23"/>
      <c r="B766" s="23"/>
      <c r="C766" s="23"/>
    </row>
    <row r="767">
      <c r="A767" s="23"/>
      <c r="B767" s="23"/>
      <c r="C767" s="23"/>
    </row>
    <row r="768">
      <c r="A768" s="23"/>
      <c r="B768" s="23"/>
      <c r="C768" s="23"/>
    </row>
    <row r="769">
      <c r="A769" s="23"/>
      <c r="B769" s="23"/>
      <c r="C769" s="23"/>
    </row>
    <row r="770">
      <c r="A770" s="23"/>
      <c r="B770" s="23"/>
      <c r="C770" s="23"/>
    </row>
    <row r="771">
      <c r="A771" s="23"/>
      <c r="B771" s="23"/>
      <c r="C771" s="23"/>
    </row>
    <row r="772">
      <c r="A772" s="23"/>
      <c r="B772" s="23"/>
      <c r="C772" s="23"/>
    </row>
    <row r="773">
      <c r="A773" s="23"/>
      <c r="B773" s="23"/>
      <c r="C773" s="23"/>
    </row>
    <row r="774">
      <c r="A774" s="23"/>
      <c r="B774" s="23"/>
      <c r="C774" s="23"/>
    </row>
    <row r="775">
      <c r="A775" s="23"/>
      <c r="B775" s="23"/>
      <c r="C775" s="23"/>
    </row>
    <row r="776">
      <c r="A776" s="23"/>
      <c r="B776" s="23"/>
      <c r="C776" s="23"/>
    </row>
    <row r="777">
      <c r="A777" s="23"/>
      <c r="B777" s="23"/>
      <c r="C777" s="23"/>
    </row>
    <row r="778">
      <c r="A778" s="23"/>
      <c r="B778" s="23"/>
      <c r="C778" s="23"/>
    </row>
    <row r="779">
      <c r="A779" s="23"/>
      <c r="B779" s="23"/>
      <c r="C779" s="23"/>
    </row>
    <row r="780">
      <c r="A780" s="23"/>
      <c r="B780" s="23"/>
      <c r="C780" s="23"/>
    </row>
    <row r="781">
      <c r="A781" s="23"/>
      <c r="B781" s="23"/>
      <c r="C781" s="23"/>
    </row>
    <row r="782">
      <c r="A782" s="23"/>
      <c r="B782" s="23"/>
      <c r="C782" s="23"/>
    </row>
    <row r="783">
      <c r="A783" s="23"/>
      <c r="B783" s="23"/>
      <c r="C783" s="23"/>
    </row>
    <row r="784">
      <c r="A784" s="23"/>
      <c r="B784" s="23"/>
      <c r="C784" s="23"/>
    </row>
    <row r="785">
      <c r="A785" s="23"/>
      <c r="B785" s="23"/>
      <c r="C785" s="23"/>
    </row>
    <row r="786">
      <c r="A786" s="23"/>
      <c r="B786" s="23"/>
      <c r="C786" s="23"/>
    </row>
    <row r="787">
      <c r="A787" s="23"/>
      <c r="B787" s="23"/>
      <c r="C787" s="23"/>
    </row>
    <row r="788">
      <c r="A788" s="23"/>
      <c r="B788" s="23"/>
      <c r="C788" s="23"/>
    </row>
    <row r="789">
      <c r="A789" s="23"/>
      <c r="B789" s="23"/>
      <c r="C789" s="23"/>
    </row>
    <row r="790">
      <c r="A790" s="23"/>
      <c r="B790" s="23"/>
      <c r="C790" s="23"/>
    </row>
    <row r="791">
      <c r="A791" s="23"/>
      <c r="B791" s="23"/>
      <c r="C791" s="23"/>
    </row>
    <row r="792">
      <c r="A792" s="23"/>
      <c r="B792" s="23"/>
      <c r="C792" s="23"/>
    </row>
    <row r="793">
      <c r="A793" s="23"/>
      <c r="B793" s="23"/>
      <c r="C793" s="23"/>
    </row>
    <row r="794">
      <c r="A794" s="23"/>
      <c r="B794" s="23"/>
      <c r="C794" s="23"/>
    </row>
    <row r="795">
      <c r="A795" s="23"/>
      <c r="B795" s="23"/>
      <c r="C795" s="23"/>
    </row>
    <row r="796">
      <c r="A796" s="23"/>
      <c r="B796" s="23"/>
      <c r="C796" s="23"/>
    </row>
    <row r="797">
      <c r="A797" s="23"/>
      <c r="B797" s="23"/>
      <c r="C797" s="23"/>
    </row>
    <row r="798">
      <c r="A798" s="23"/>
      <c r="B798" s="23"/>
      <c r="C798" s="23"/>
    </row>
    <row r="799">
      <c r="A799" s="23"/>
      <c r="B799" s="23"/>
      <c r="C799" s="23"/>
    </row>
    <row r="800">
      <c r="A800" s="23"/>
      <c r="B800" s="23"/>
      <c r="C800" s="23"/>
    </row>
    <row r="801">
      <c r="A801" s="23"/>
      <c r="B801" s="23"/>
      <c r="C801" s="23"/>
    </row>
    <row r="802">
      <c r="A802" s="23"/>
      <c r="B802" s="23"/>
      <c r="C802" s="23"/>
    </row>
    <row r="803">
      <c r="A803" s="23"/>
      <c r="B803" s="23"/>
      <c r="C803" s="23"/>
    </row>
    <row r="804">
      <c r="A804" s="23"/>
      <c r="B804" s="23"/>
      <c r="C804" s="23"/>
    </row>
    <row r="805">
      <c r="A805" s="23"/>
      <c r="B805" s="23"/>
      <c r="C805" s="23"/>
    </row>
    <row r="806">
      <c r="A806" s="23"/>
      <c r="B806" s="23"/>
      <c r="C806" s="23"/>
    </row>
    <row r="807">
      <c r="A807" s="23"/>
      <c r="B807" s="23"/>
      <c r="C807" s="23"/>
    </row>
    <row r="808">
      <c r="A808" s="23"/>
      <c r="B808" s="23"/>
      <c r="C808" s="23"/>
    </row>
    <row r="809">
      <c r="A809" s="23"/>
      <c r="B809" s="23"/>
      <c r="C809" s="23"/>
    </row>
    <row r="810">
      <c r="A810" s="23"/>
      <c r="B810" s="23"/>
      <c r="C810" s="23"/>
    </row>
    <row r="811">
      <c r="A811" s="23"/>
      <c r="B811" s="23"/>
      <c r="C811" s="23"/>
    </row>
    <row r="812">
      <c r="A812" s="23"/>
      <c r="B812" s="23"/>
      <c r="C812" s="23"/>
    </row>
    <row r="813">
      <c r="A813" s="23"/>
      <c r="B813" s="23"/>
      <c r="C813" s="23"/>
    </row>
    <row r="814">
      <c r="A814" s="23"/>
      <c r="B814" s="23"/>
      <c r="C814" s="23"/>
    </row>
    <row r="815">
      <c r="A815" s="23"/>
      <c r="B815" s="23"/>
      <c r="C815" s="23"/>
    </row>
    <row r="816">
      <c r="A816" s="23"/>
      <c r="B816" s="23"/>
      <c r="C816" s="23"/>
    </row>
    <row r="817">
      <c r="A817" s="23"/>
      <c r="B817" s="23"/>
      <c r="C817" s="23"/>
    </row>
    <row r="818">
      <c r="A818" s="23"/>
      <c r="B818" s="23"/>
      <c r="C818" s="23"/>
    </row>
    <row r="819">
      <c r="A819" s="23"/>
      <c r="B819" s="23"/>
      <c r="C819" s="23"/>
    </row>
    <row r="820">
      <c r="A820" s="23"/>
      <c r="B820" s="23"/>
      <c r="C820" s="23"/>
    </row>
    <row r="821">
      <c r="A821" s="23"/>
      <c r="B821" s="23"/>
      <c r="C821" s="23"/>
    </row>
    <row r="822">
      <c r="A822" s="23"/>
      <c r="B822" s="23"/>
      <c r="C822" s="23"/>
    </row>
    <row r="823">
      <c r="A823" s="23"/>
      <c r="B823" s="23"/>
      <c r="C823" s="23"/>
    </row>
    <row r="824">
      <c r="A824" s="23"/>
      <c r="B824" s="23"/>
      <c r="C824" s="23"/>
    </row>
    <row r="825">
      <c r="A825" s="23"/>
      <c r="B825" s="23"/>
      <c r="C825" s="23"/>
    </row>
    <row r="826">
      <c r="A826" s="23"/>
      <c r="B826" s="23"/>
      <c r="C826" s="23"/>
    </row>
    <row r="827">
      <c r="A827" s="23"/>
      <c r="B827" s="23"/>
      <c r="C827" s="23"/>
    </row>
    <row r="828">
      <c r="A828" s="23"/>
      <c r="B828" s="23"/>
      <c r="C828" s="23"/>
    </row>
    <row r="829">
      <c r="A829" s="23"/>
      <c r="B829" s="23"/>
      <c r="C829" s="23"/>
    </row>
    <row r="830">
      <c r="A830" s="23"/>
      <c r="B830" s="23"/>
      <c r="C830" s="23"/>
    </row>
    <row r="831">
      <c r="A831" s="23"/>
      <c r="B831" s="23"/>
      <c r="C831" s="23"/>
    </row>
    <row r="832">
      <c r="A832" s="23"/>
      <c r="B832" s="23"/>
      <c r="C832" s="23"/>
    </row>
    <row r="833">
      <c r="A833" s="23"/>
      <c r="B833" s="23"/>
      <c r="C833" s="23"/>
    </row>
    <row r="834">
      <c r="A834" s="23"/>
      <c r="B834" s="23"/>
      <c r="C834" s="23"/>
    </row>
    <row r="835">
      <c r="A835" s="23"/>
      <c r="B835" s="23"/>
      <c r="C835" s="23"/>
    </row>
    <row r="836">
      <c r="A836" s="23"/>
      <c r="B836" s="23"/>
      <c r="C836" s="23"/>
    </row>
    <row r="837">
      <c r="A837" s="23"/>
      <c r="B837" s="23"/>
      <c r="C837" s="23"/>
    </row>
    <row r="838">
      <c r="A838" s="23"/>
      <c r="B838" s="23"/>
      <c r="C838" s="23"/>
    </row>
    <row r="839">
      <c r="A839" s="23"/>
      <c r="B839" s="23"/>
      <c r="C839" s="23"/>
    </row>
    <row r="840">
      <c r="A840" s="23"/>
      <c r="B840" s="23"/>
      <c r="C840" s="23"/>
    </row>
    <row r="841">
      <c r="A841" s="23"/>
      <c r="B841" s="23"/>
      <c r="C841" s="23"/>
    </row>
    <row r="842">
      <c r="A842" s="23"/>
      <c r="B842" s="23"/>
      <c r="C842" s="23"/>
    </row>
    <row r="843">
      <c r="A843" s="23"/>
      <c r="B843" s="23"/>
      <c r="C843" s="23"/>
    </row>
    <row r="844">
      <c r="A844" s="23"/>
      <c r="B844" s="23"/>
      <c r="C844" s="23"/>
    </row>
    <row r="845">
      <c r="A845" s="23"/>
      <c r="B845" s="23"/>
      <c r="C845" s="23"/>
    </row>
    <row r="846">
      <c r="A846" s="23"/>
      <c r="B846" s="23"/>
      <c r="C846" s="23"/>
    </row>
    <row r="847">
      <c r="A847" s="23"/>
      <c r="B847" s="23"/>
      <c r="C847" s="23"/>
    </row>
    <row r="848">
      <c r="A848" s="23"/>
      <c r="B848" s="23"/>
      <c r="C848" s="23"/>
    </row>
    <row r="849">
      <c r="A849" s="23"/>
      <c r="B849" s="23"/>
      <c r="C849" s="23"/>
    </row>
    <row r="850">
      <c r="A850" s="23"/>
      <c r="B850" s="23"/>
      <c r="C850" s="23"/>
    </row>
    <row r="851">
      <c r="A851" s="23"/>
      <c r="B851" s="23"/>
      <c r="C851" s="23"/>
    </row>
    <row r="852">
      <c r="A852" s="23"/>
      <c r="B852" s="23"/>
      <c r="C852" s="23"/>
    </row>
    <row r="853">
      <c r="A853" s="23"/>
      <c r="B853" s="23"/>
      <c r="C853" s="23"/>
    </row>
    <row r="854">
      <c r="A854" s="23"/>
      <c r="B854" s="23"/>
      <c r="C854" s="23"/>
    </row>
    <row r="855">
      <c r="A855" s="23"/>
      <c r="B855" s="23"/>
      <c r="C855" s="23"/>
    </row>
    <row r="856">
      <c r="A856" s="23"/>
      <c r="B856" s="23"/>
      <c r="C856" s="23"/>
    </row>
    <row r="857">
      <c r="A857" s="23"/>
      <c r="B857" s="23"/>
      <c r="C857" s="23"/>
    </row>
    <row r="858">
      <c r="A858" s="23"/>
      <c r="B858" s="23"/>
      <c r="C858" s="23"/>
    </row>
    <row r="859">
      <c r="A859" s="23"/>
      <c r="B859" s="23"/>
      <c r="C859" s="23"/>
    </row>
    <row r="860">
      <c r="A860" s="23"/>
      <c r="B860" s="23"/>
      <c r="C860" s="23"/>
    </row>
    <row r="861">
      <c r="A861" s="23"/>
      <c r="B861" s="23"/>
      <c r="C861" s="23"/>
    </row>
    <row r="862">
      <c r="A862" s="23"/>
      <c r="B862" s="23"/>
      <c r="C862" s="23"/>
    </row>
    <row r="863">
      <c r="A863" s="23"/>
      <c r="B863" s="23"/>
      <c r="C863" s="23"/>
    </row>
    <row r="864">
      <c r="A864" s="23"/>
      <c r="B864" s="23"/>
      <c r="C864" s="23"/>
    </row>
    <row r="865">
      <c r="A865" s="23"/>
      <c r="B865" s="23"/>
      <c r="C865" s="23"/>
    </row>
    <row r="866">
      <c r="A866" s="23"/>
      <c r="B866" s="23"/>
      <c r="C866" s="23"/>
    </row>
    <row r="867">
      <c r="A867" s="23"/>
      <c r="B867" s="23"/>
      <c r="C867" s="23"/>
    </row>
    <row r="868">
      <c r="A868" s="23"/>
      <c r="B868" s="23"/>
      <c r="C868" s="23"/>
    </row>
    <row r="869">
      <c r="A869" s="23"/>
      <c r="B869" s="23"/>
      <c r="C869" s="23"/>
    </row>
    <row r="870">
      <c r="A870" s="23"/>
      <c r="B870" s="23"/>
      <c r="C870" s="23"/>
    </row>
    <row r="871">
      <c r="A871" s="23"/>
      <c r="B871" s="23"/>
      <c r="C871" s="23"/>
    </row>
    <row r="872">
      <c r="A872" s="23"/>
      <c r="B872" s="23"/>
      <c r="C872" s="23"/>
    </row>
    <row r="873">
      <c r="A873" s="23"/>
      <c r="B873" s="23"/>
      <c r="C873" s="23"/>
    </row>
    <row r="874">
      <c r="A874" s="23"/>
      <c r="B874" s="23"/>
      <c r="C874" s="23"/>
    </row>
    <row r="875">
      <c r="A875" s="23"/>
      <c r="B875" s="23"/>
      <c r="C875" s="23"/>
    </row>
    <row r="876">
      <c r="A876" s="23"/>
      <c r="B876" s="23"/>
      <c r="C876" s="23"/>
    </row>
    <row r="877">
      <c r="A877" s="23"/>
      <c r="B877" s="23"/>
      <c r="C877" s="23"/>
    </row>
    <row r="878">
      <c r="A878" s="23"/>
      <c r="B878" s="23"/>
      <c r="C878" s="23"/>
    </row>
    <row r="879">
      <c r="A879" s="23"/>
      <c r="B879" s="23"/>
      <c r="C879" s="23"/>
    </row>
    <row r="880">
      <c r="A880" s="23"/>
      <c r="B880" s="23"/>
      <c r="C880" s="23"/>
    </row>
    <row r="881">
      <c r="A881" s="23"/>
      <c r="B881" s="23"/>
      <c r="C881" s="23"/>
    </row>
    <row r="882">
      <c r="A882" s="23"/>
      <c r="B882" s="23"/>
      <c r="C882" s="23"/>
    </row>
    <row r="883">
      <c r="A883" s="23"/>
      <c r="B883" s="23"/>
      <c r="C883" s="23"/>
    </row>
    <row r="884">
      <c r="A884" s="23"/>
      <c r="B884" s="23"/>
      <c r="C884" s="23"/>
    </row>
    <row r="885">
      <c r="A885" s="23"/>
      <c r="B885" s="23"/>
      <c r="C885" s="23"/>
    </row>
    <row r="886">
      <c r="A886" s="23"/>
      <c r="B886" s="23"/>
      <c r="C886" s="23"/>
    </row>
    <row r="887">
      <c r="A887" s="23"/>
      <c r="B887" s="23"/>
      <c r="C887" s="23"/>
    </row>
    <row r="888">
      <c r="A888" s="23"/>
      <c r="B888" s="23"/>
      <c r="C888" s="23"/>
    </row>
    <row r="889">
      <c r="A889" s="23"/>
      <c r="B889" s="23"/>
      <c r="C889" s="23"/>
    </row>
    <row r="890">
      <c r="A890" s="23"/>
      <c r="B890" s="23"/>
      <c r="C890" s="23"/>
    </row>
    <row r="891">
      <c r="A891" s="23"/>
      <c r="B891" s="23"/>
      <c r="C891" s="23"/>
    </row>
    <row r="892">
      <c r="A892" s="23"/>
      <c r="B892" s="23"/>
      <c r="C892" s="23"/>
    </row>
    <row r="893">
      <c r="A893" s="23"/>
      <c r="B893" s="23"/>
      <c r="C893" s="23"/>
    </row>
    <row r="894">
      <c r="A894" s="23"/>
      <c r="B894" s="23"/>
      <c r="C894" s="23"/>
    </row>
    <row r="895">
      <c r="A895" s="23"/>
      <c r="B895" s="23"/>
      <c r="C895" s="23"/>
    </row>
    <row r="896">
      <c r="A896" s="23"/>
      <c r="B896" s="23"/>
      <c r="C896" s="23"/>
    </row>
    <row r="897">
      <c r="A897" s="23"/>
      <c r="B897" s="23"/>
      <c r="C897" s="23"/>
    </row>
    <row r="898">
      <c r="A898" s="23"/>
      <c r="B898" s="23"/>
      <c r="C898" s="23"/>
    </row>
    <row r="899">
      <c r="A899" s="23"/>
      <c r="B899" s="23"/>
      <c r="C899" s="23"/>
    </row>
    <row r="900">
      <c r="A900" s="23"/>
      <c r="B900" s="23"/>
      <c r="C900" s="23"/>
    </row>
    <row r="901">
      <c r="A901" s="23"/>
      <c r="B901" s="23"/>
      <c r="C901" s="23"/>
    </row>
    <row r="902">
      <c r="A902" s="23"/>
      <c r="B902" s="23"/>
      <c r="C902" s="23"/>
    </row>
    <row r="903">
      <c r="A903" s="23"/>
      <c r="B903" s="23"/>
      <c r="C903" s="23"/>
    </row>
    <row r="904">
      <c r="A904" s="23"/>
      <c r="B904" s="23"/>
      <c r="C904" s="23"/>
    </row>
    <row r="905">
      <c r="A905" s="23"/>
      <c r="B905" s="23"/>
      <c r="C905" s="23"/>
    </row>
    <row r="906">
      <c r="A906" s="23"/>
      <c r="B906" s="23"/>
      <c r="C906" s="23"/>
    </row>
    <row r="907">
      <c r="A907" s="23"/>
      <c r="B907" s="23"/>
      <c r="C907" s="23"/>
    </row>
    <row r="908">
      <c r="A908" s="23"/>
      <c r="B908" s="23"/>
      <c r="C908" s="23"/>
    </row>
    <row r="909">
      <c r="A909" s="23"/>
      <c r="B909" s="23"/>
      <c r="C909" s="23"/>
    </row>
    <row r="910">
      <c r="A910" s="23"/>
      <c r="B910" s="23"/>
      <c r="C910" s="23"/>
    </row>
    <row r="911">
      <c r="A911" s="23"/>
      <c r="B911" s="23"/>
      <c r="C911" s="23"/>
    </row>
    <row r="912">
      <c r="A912" s="23"/>
      <c r="B912" s="23"/>
      <c r="C912" s="23"/>
    </row>
    <row r="913">
      <c r="A913" s="23"/>
      <c r="B913" s="23"/>
      <c r="C913" s="23"/>
    </row>
    <row r="914">
      <c r="A914" s="23"/>
      <c r="B914" s="23"/>
      <c r="C914" s="23"/>
    </row>
    <row r="915">
      <c r="A915" s="23"/>
      <c r="B915" s="23"/>
      <c r="C915" s="23"/>
    </row>
    <row r="916">
      <c r="A916" s="23"/>
      <c r="B916" s="23"/>
      <c r="C916" s="23"/>
    </row>
    <row r="917">
      <c r="A917" s="23"/>
      <c r="B917" s="23"/>
      <c r="C917" s="23"/>
    </row>
    <row r="918">
      <c r="A918" s="23"/>
      <c r="B918" s="23"/>
      <c r="C918" s="23"/>
    </row>
    <row r="919">
      <c r="A919" s="23"/>
      <c r="B919" s="23"/>
      <c r="C919" s="23"/>
    </row>
    <row r="920">
      <c r="A920" s="23"/>
      <c r="B920" s="23"/>
      <c r="C920" s="23"/>
    </row>
    <row r="921">
      <c r="A921" s="23"/>
      <c r="B921" s="23"/>
      <c r="C921" s="23"/>
    </row>
    <row r="922">
      <c r="A922" s="23"/>
      <c r="B922" s="23"/>
      <c r="C922" s="23"/>
    </row>
    <row r="923">
      <c r="A923" s="23"/>
      <c r="B923" s="23"/>
      <c r="C923" s="23"/>
    </row>
    <row r="924">
      <c r="A924" s="23"/>
      <c r="B924" s="23"/>
      <c r="C924" s="23"/>
    </row>
    <row r="925">
      <c r="A925" s="23"/>
      <c r="B925" s="23"/>
      <c r="C925" s="23"/>
    </row>
    <row r="926">
      <c r="A926" s="23"/>
      <c r="B926" s="23"/>
      <c r="C926" s="23"/>
    </row>
    <row r="927">
      <c r="A927" s="23"/>
      <c r="B927" s="23"/>
      <c r="C927" s="23"/>
    </row>
    <row r="928">
      <c r="A928" s="23"/>
      <c r="B928" s="23"/>
      <c r="C928" s="23"/>
    </row>
    <row r="929">
      <c r="A929" s="23"/>
      <c r="B929" s="23"/>
      <c r="C929" s="23"/>
    </row>
    <row r="930">
      <c r="A930" s="23"/>
      <c r="B930" s="23"/>
      <c r="C930" s="23"/>
    </row>
    <row r="931">
      <c r="A931" s="23"/>
      <c r="B931" s="23"/>
      <c r="C931" s="23"/>
    </row>
    <row r="932">
      <c r="A932" s="23"/>
      <c r="B932" s="23"/>
      <c r="C932" s="23"/>
    </row>
    <row r="933">
      <c r="A933" s="23"/>
      <c r="B933" s="23"/>
      <c r="C933" s="23"/>
    </row>
    <row r="934">
      <c r="A934" s="23"/>
      <c r="B934" s="23"/>
      <c r="C934" s="23"/>
    </row>
    <row r="935">
      <c r="A935" s="23"/>
      <c r="B935" s="23"/>
      <c r="C935" s="23"/>
    </row>
    <row r="936">
      <c r="A936" s="23"/>
      <c r="B936" s="23"/>
      <c r="C936" s="23"/>
    </row>
    <row r="937">
      <c r="A937" s="23"/>
      <c r="B937" s="23"/>
      <c r="C937" s="23"/>
    </row>
    <row r="938">
      <c r="A938" s="23"/>
      <c r="B938" s="23"/>
      <c r="C938" s="23"/>
    </row>
    <row r="939">
      <c r="A939" s="23"/>
      <c r="B939" s="23"/>
      <c r="C939" s="23"/>
    </row>
    <row r="940">
      <c r="A940" s="23"/>
      <c r="B940" s="23"/>
      <c r="C940" s="23"/>
    </row>
    <row r="941">
      <c r="A941" s="23"/>
      <c r="B941" s="23"/>
      <c r="C941" s="23"/>
    </row>
    <row r="942">
      <c r="A942" s="23"/>
      <c r="B942" s="23"/>
      <c r="C942" s="23"/>
    </row>
    <row r="943">
      <c r="A943" s="23"/>
      <c r="B943" s="23"/>
      <c r="C943" s="23"/>
    </row>
    <row r="944">
      <c r="A944" s="23"/>
      <c r="B944" s="23"/>
      <c r="C944" s="23"/>
    </row>
    <row r="945">
      <c r="A945" s="23"/>
      <c r="B945" s="23"/>
      <c r="C945" s="23"/>
    </row>
    <row r="946">
      <c r="A946" s="23"/>
      <c r="B946" s="23"/>
      <c r="C946" s="23"/>
    </row>
    <row r="947">
      <c r="A947" s="23"/>
      <c r="B947" s="23"/>
      <c r="C947" s="23"/>
    </row>
    <row r="948">
      <c r="A948" s="23"/>
      <c r="B948" s="23"/>
      <c r="C948" s="23"/>
    </row>
    <row r="949">
      <c r="A949" s="23"/>
      <c r="B949" s="23"/>
      <c r="C949" s="23"/>
    </row>
    <row r="950">
      <c r="A950" s="23"/>
      <c r="B950" s="23"/>
      <c r="C950" s="23"/>
    </row>
    <row r="951">
      <c r="A951" s="23"/>
      <c r="B951" s="23"/>
      <c r="C951" s="23"/>
    </row>
    <row r="952">
      <c r="A952" s="23"/>
      <c r="B952" s="23"/>
      <c r="C952" s="23"/>
    </row>
    <row r="953">
      <c r="A953" s="23"/>
      <c r="B953" s="23"/>
      <c r="C953" s="23"/>
    </row>
    <row r="954">
      <c r="A954" s="23"/>
      <c r="B954" s="23"/>
      <c r="C954" s="23"/>
    </row>
    <row r="955">
      <c r="A955" s="23"/>
      <c r="B955" s="23"/>
      <c r="C955" s="23"/>
    </row>
    <row r="956">
      <c r="A956" s="23"/>
      <c r="B956" s="23"/>
      <c r="C956" s="23"/>
    </row>
    <row r="957">
      <c r="A957" s="23"/>
      <c r="B957" s="23"/>
      <c r="C957" s="23"/>
    </row>
    <row r="958">
      <c r="A958" s="23"/>
      <c r="B958" s="23"/>
      <c r="C958" s="23"/>
    </row>
    <row r="959">
      <c r="A959" s="23"/>
      <c r="B959" s="23"/>
      <c r="C959" s="23"/>
    </row>
    <row r="960">
      <c r="A960" s="23"/>
      <c r="B960" s="23"/>
      <c r="C960" s="23"/>
    </row>
    <row r="961">
      <c r="A961" s="23"/>
      <c r="B961" s="23"/>
      <c r="C961" s="23"/>
    </row>
    <row r="962">
      <c r="A962" s="23"/>
      <c r="B962" s="23"/>
      <c r="C962" s="23"/>
    </row>
    <row r="963">
      <c r="A963" s="23"/>
      <c r="B963" s="23"/>
      <c r="C963" s="23"/>
    </row>
    <row r="964">
      <c r="A964" s="23"/>
      <c r="B964" s="23"/>
      <c r="C964" s="23"/>
    </row>
    <row r="965">
      <c r="A965" s="23"/>
      <c r="B965" s="23"/>
      <c r="C965" s="23"/>
    </row>
    <row r="966">
      <c r="A966" s="23"/>
      <c r="B966" s="23"/>
      <c r="C966" s="23"/>
    </row>
    <row r="967">
      <c r="A967" s="23"/>
      <c r="B967" s="23"/>
      <c r="C967" s="23"/>
    </row>
    <row r="968">
      <c r="A968" s="23"/>
      <c r="B968" s="23"/>
      <c r="C968" s="23"/>
    </row>
    <row r="969">
      <c r="A969" s="23"/>
      <c r="B969" s="23"/>
      <c r="C969" s="23"/>
    </row>
    <row r="970">
      <c r="A970" s="23"/>
      <c r="B970" s="23"/>
      <c r="C970" s="23"/>
    </row>
    <row r="971">
      <c r="A971" s="23"/>
      <c r="B971" s="23"/>
      <c r="C971" s="23"/>
    </row>
    <row r="972">
      <c r="A972" s="23"/>
      <c r="B972" s="23"/>
      <c r="C972" s="23"/>
    </row>
    <row r="973">
      <c r="A973" s="23"/>
      <c r="B973" s="23"/>
      <c r="C973" s="23"/>
    </row>
    <row r="974">
      <c r="A974" s="23"/>
      <c r="B974" s="23"/>
      <c r="C974" s="23"/>
    </row>
    <row r="975">
      <c r="A975" s="23"/>
      <c r="B975" s="23"/>
      <c r="C975" s="23"/>
    </row>
    <row r="976">
      <c r="A976" s="23"/>
      <c r="B976" s="23"/>
      <c r="C976" s="23"/>
    </row>
    <row r="977">
      <c r="A977" s="23"/>
      <c r="B977" s="23"/>
      <c r="C977" s="23"/>
    </row>
    <row r="978">
      <c r="A978" s="23"/>
      <c r="B978" s="23"/>
      <c r="C978" s="23"/>
    </row>
    <row r="979">
      <c r="A979" s="23"/>
      <c r="B979" s="23"/>
      <c r="C979" s="23"/>
    </row>
    <row r="980">
      <c r="A980" s="23"/>
      <c r="B980" s="23"/>
      <c r="C980" s="23"/>
    </row>
    <row r="981">
      <c r="A981" s="23"/>
      <c r="B981" s="23"/>
      <c r="C981" s="23"/>
    </row>
    <row r="982">
      <c r="A982" s="23"/>
      <c r="B982" s="23"/>
      <c r="C982" s="23"/>
    </row>
    <row r="983">
      <c r="A983" s="23"/>
      <c r="B983" s="23"/>
      <c r="C983" s="23"/>
    </row>
    <row r="984">
      <c r="A984" s="23"/>
      <c r="B984" s="23"/>
      <c r="C984" s="23"/>
    </row>
    <row r="985">
      <c r="A985" s="23"/>
      <c r="B985" s="23"/>
      <c r="C985" s="23"/>
    </row>
    <row r="986">
      <c r="A986" s="23"/>
      <c r="B986" s="23"/>
      <c r="C986" s="23"/>
    </row>
    <row r="987">
      <c r="A987" s="23"/>
      <c r="B987" s="23"/>
      <c r="C987" s="23"/>
    </row>
    <row r="988">
      <c r="A988" s="23"/>
      <c r="B988" s="23"/>
      <c r="C988" s="23"/>
    </row>
    <row r="989">
      <c r="A989" s="23"/>
      <c r="B989" s="23"/>
      <c r="C989" s="23"/>
    </row>
    <row r="990">
      <c r="A990" s="23"/>
      <c r="B990" s="23"/>
      <c r="C990" s="23"/>
    </row>
    <row r="991">
      <c r="A991" s="23"/>
      <c r="B991" s="23"/>
      <c r="C991" s="23"/>
    </row>
    <row r="992">
      <c r="A992" s="23"/>
      <c r="B992" s="23"/>
      <c r="C992" s="23"/>
    </row>
    <row r="993">
      <c r="A993" s="23"/>
      <c r="B993" s="23"/>
      <c r="C993" s="23"/>
    </row>
    <row r="994">
      <c r="A994" s="23"/>
      <c r="B994" s="23"/>
      <c r="C994" s="23"/>
    </row>
    <row r="995">
      <c r="A995" s="23"/>
      <c r="B995" s="23"/>
      <c r="C995" s="23"/>
    </row>
    <row r="996">
      <c r="A996" s="23"/>
      <c r="B996" s="23"/>
      <c r="C996" s="23"/>
    </row>
    <row r="997">
      <c r="A997" s="23"/>
      <c r="B997" s="23"/>
      <c r="C997" s="23"/>
    </row>
    <row r="998">
      <c r="A998" s="23"/>
      <c r="B998" s="23"/>
      <c r="C998" s="23"/>
    </row>
    <row r="999">
      <c r="A999" s="23"/>
      <c r="B999" s="23"/>
      <c r="C999" s="23"/>
    </row>
    <row r="1000">
      <c r="A1000" s="23"/>
      <c r="B1000" s="23"/>
      <c r="C1000" s="23"/>
    </row>
  </sheetData>
  <hyperlinks>
    <hyperlink r:id="rId1" ref="B1"/>
    <hyperlink r:id="rId2" ref="C1"/>
    <hyperlink r:id="rId3" ref="E1"/>
    <hyperlink r:id="rId4" ref="F1"/>
    <hyperlink r:id="rId5" ref="G1"/>
    <hyperlink r:id="rId6" ref="H1"/>
  </hyperlinks>
  <drawing r:id="rId7"/>
  <tableParts count="2">
    <tablePart r:id="rId10"/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4.88"/>
    <col customWidth="1" min="6" max="6" width="10.75"/>
    <col customWidth="1" min="7" max="7" width="23.13"/>
  </cols>
  <sheetData>
    <row r="1">
      <c r="A1" s="29" t="s">
        <v>0</v>
      </c>
      <c r="B1" s="4" t="s">
        <v>1</v>
      </c>
      <c r="C1" s="4" t="s">
        <v>2</v>
      </c>
      <c r="E1" s="30"/>
      <c r="F1" s="31" t="s">
        <v>1</v>
      </c>
      <c r="G1" s="31" t="s">
        <v>2</v>
      </c>
    </row>
    <row r="2">
      <c r="A2" s="32">
        <v>46048.0</v>
      </c>
      <c r="B2" s="8">
        <v>-0.030538783093358224</v>
      </c>
      <c r="C2" s="8">
        <v>0.016399351234456683</v>
      </c>
      <c r="E2" s="29" t="s">
        <v>13</v>
      </c>
      <c r="F2" s="33">
        <f t="shared" ref="F2:G2" si="1">Max(B:B)</f>
        <v>0.132065776</v>
      </c>
      <c r="G2" s="33">
        <f t="shared" si="1"/>
        <v>0.1453869698</v>
      </c>
    </row>
    <row r="3">
      <c r="A3" s="32">
        <v>46041.0</v>
      </c>
      <c r="B3" s="8">
        <v>-0.021363636363636362</v>
      </c>
      <c r="C3" s="8">
        <v>-0.0019784172661870825</v>
      </c>
      <c r="E3" s="29" t="s">
        <v>14</v>
      </c>
      <c r="F3" s="34">
        <f t="shared" ref="F3:G3" si="2">min(B:B)</f>
        <v>-0.09127065062</v>
      </c>
      <c r="G3" s="34">
        <f t="shared" si="2"/>
        <v>-0.1482474227</v>
      </c>
    </row>
    <row r="4">
      <c r="A4" s="32">
        <v>46034.0</v>
      </c>
      <c r="B4" s="8">
        <v>-0.016320143080706395</v>
      </c>
      <c r="C4" s="8">
        <v>-0.04038660683465645</v>
      </c>
      <c r="E4" s="29" t="s">
        <v>15</v>
      </c>
      <c r="F4" s="9">
        <f t="shared" ref="F4:G4" si="3">F2-F3</f>
        <v>0.2233364266</v>
      </c>
      <c r="G4" s="9">
        <f t="shared" si="3"/>
        <v>0.2936343925</v>
      </c>
    </row>
    <row r="5">
      <c r="A5" s="32">
        <v>46027.0</v>
      </c>
      <c r="B5" s="8">
        <v>-0.016815034619188984</v>
      </c>
      <c r="C5" s="8">
        <v>0.03603039785426909</v>
      </c>
      <c r="E5" s="30"/>
      <c r="F5" s="30"/>
      <c r="G5" s="30"/>
    </row>
    <row r="6">
      <c r="A6" s="32">
        <v>46020.0</v>
      </c>
      <c r="B6" s="8">
        <v>-0.03683709114004452</v>
      </c>
      <c r="C6" s="8">
        <v>-0.015058119056005737</v>
      </c>
      <c r="E6" s="29" t="s">
        <v>16</v>
      </c>
      <c r="F6" s="35">
        <f>_xlfn.PERCENTILE.INC(B:B,0.75)</f>
        <v>0.02982636457</v>
      </c>
      <c r="G6" s="35">
        <f>(_xlfn.PERCENTILE.INC(C:C,0.75))</f>
        <v>0.02123035351</v>
      </c>
    </row>
    <row r="7">
      <c r="A7" s="32">
        <v>46013.0</v>
      </c>
      <c r="B7" s="8">
        <v>8.475474096831803E-4</v>
      </c>
      <c r="C7" s="8">
        <v>0.02778531993845612</v>
      </c>
      <c r="E7" s="29" t="s">
        <v>17</v>
      </c>
      <c r="F7" s="35">
        <f t="shared" ref="F7:G7" si="4">(_xlfn.PERCENTILE.INC(B:B,0.25))</f>
        <v>-0.02825943791</v>
      </c>
      <c r="G7" s="35">
        <f t="shared" si="4"/>
        <v>-0.01606812563</v>
      </c>
    </row>
    <row r="8">
      <c r="A8" s="32">
        <v>46006.0</v>
      </c>
      <c r="B8" s="8">
        <v>-0.008404244143292328</v>
      </c>
      <c r="C8" s="8">
        <v>-0.0032476319350474014</v>
      </c>
      <c r="E8" s="36" t="s">
        <v>18</v>
      </c>
      <c r="F8" s="35">
        <f t="shared" ref="F8:G8" si="5">F6-F7</f>
        <v>0.05808580247</v>
      </c>
      <c r="G8" s="35">
        <f t="shared" si="5"/>
        <v>0.03729847913</v>
      </c>
      <c r="I8" s="37"/>
      <c r="J8" s="38"/>
    </row>
    <row r="9">
      <c r="A9" s="32">
        <v>45999.0</v>
      </c>
      <c r="B9" s="8">
        <v>-0.05037909018355946</v>
      </c>
      <c r="C9" s="8">
        <v>0.05985275838990334</v>
      </c>
      <c r="E9" s="30"/>
      <c r="F9" s="30"/>
      <c r="G9" s="30"/>
      <c r="I9" s="37"/>
      <c r="J9" s="39"/>
    </row>
    <row r="10">
      <c r="A10" s="32">
        <v>45992.0</v>
      </c>
      <c r="B10" s="8">
        <v>-0.06822829522216034</v>
      </c>
      <c r="C10" s="8">
        <v>0.007902091163149327</v>
      </c>
      <c r="E10" s="40" t="s">
        <v>19</v>
      </c>
      <c r="F10" s="41">
        <f t="shared" ref="F10:G10" si="6">AVERAGE(B:B)</f>
        <v>-0.002794805997</v>
      </c>
      <c r="G10" s="41">
        <f t="shared" si="6"/>
        <v>0.001430450845</v>
      </c>
      <c r="I10" s="37"/>
      <c r="J10" s="39"/>
    </row>
    <row r="11">
      <c r="A11" s="32">
        <v>45985.0</v>
      </c>
      <c r="B11" s="8">
        <v>0.0313488639631867</v>
      </c>
      <c r="C11" s="8">
        <v>0.0018343309519210926</v>
      </c>
      <c r="E11" s="40" t="s">
        <v>20</v>
      </c>
      <c r="F11" s="41">
        <f t="shared" ref="F11:G11" si="7">AVEDEV(B:B)*51/50</f>
        <v>0.037265264</v>
      </c>
      <c r="G11" s="41">
        <f t="shared" si="7"/>
        <v>0.02896458518</v>
      </c>
    </row>
    <row r="12">
      <c r="A12" s="32">
        <v>45978.0</v>
      </c>
      <c r="B12" s="8">
        <v>-0.06212911346880057</v>
      </c>
      <c r="C12" s="8">
        <v>-0.014368636406889346</v>
      </c>
      <c r="E12" s="40" t="s">
        <v>21</v>
      </c>
      <c r="F12" s="41">
        <f t="shared" ref="F12:G12" si="8">_xlfn.VAR.S(B:B)</f>
        <v>0.002065500713</v>
      </c>
      <c r="G12" s="41">
        <f t="shared" si="8"/>
        <v>0.00177218022</v>
      </c>
    </row>
    <row r="13">
      <c r="A13" s="32">
        <v>45971.0</v>
      </c>
      <c r="B13" s="8">
        <v>0.007701368125396346</v>
      </c>
      <c r="C13" s="8">
        <v>-0.044636363636363585</v>
      </c>
      <c r="E13" s="40" t="s">
        <v>22</v>
      </c>
      <c r="F13" s="41">
        <f t="shared" ref="F13:G13" si="9">_xlfn.STDEV.S(B:B)</f>
        <v>0.04544778006</v>
      </c>
      <c r="G13" s="41">
        <f t="shared" si="9"/>
        <v>0.04209727094</v>
      </c>
    </row>
    <row r="14">
      <c r="A14" s="32">
        <v>45964.0</v>
      </c>
      <c r="B14" s="8">
        <v>-0.013584770756993492</v>
      </c>
      <c r="C14" s="8">
        <v>-0.016627927766851403</v>
      </c>
      <c r="E14" s="30"/>
      <c r="F14" s="30"/>
      <c r="G14" s="30"/>
    </row>
    <row r="15">
      <c r="A15" s="32">
        <v>45957.0</v>
      </c>
      <c r="B15" s="8">
        <v>0.022106513199963373</v>
      </c>
      <c r="C15" s="8">
        <v>0.008383665374560367</v>
      </c>
      <c r="E15" s="13" t="s">
        <v>23</v>
      </c>
    </row>
    <row r="16">
      <c r="A16" s="32">
        <v>45950.0</v>
      </c>
      <c r="B16" s="8">
        <v>-0.08729364682341167</v>
      </c>
      <c r="C16" s="8">
        <v>0.009096697898662853</v>
      </c>
      <c r="E16" s="13" t="s">
        <v>24</v>
      </c>
    </row>
    <row r="17">
      <c r="A17" s="32">
        <v>45943.0</v>
      </c>
      <c r="B17" s="8">
        <v>-0.016965822473567815</v>
      </c>
      <c r="C17" s="8">
        <v>0.013553383735939617</v>
      </c>
    </row>
    <row r="18">
      <c r="A18" s="32">
        <v>45936.0</v>
      </c>
      <c r="B18" s="8">
        <v>0.05792074915459988</v>
      </c>
      <c r="C18" s="8">
        <v>-0.02909318771819891</v>
      </c>
    </row>
    <row r="19">
      <c r="A19" s="32">
        <v>45929.0</v>
      </c>
      <c r="B19" s="8">
        <v>-0.0473319015364283</v>
      </c>
      <c r="C19" s="8">
        <v>-0.00887232721142761</v>
      </c>
    </row>
    <row r="20">
      <c r="A20" s="32">
        <v>45922.0</v>
      </c>
      <c r="B20" s="8">
        <v>-0.013365933170334188</v>
      </c>
      <c r="C20" s="8">
        <v>-0.0025663716814159354</v>
      </c>
    </row>
    <row r="21">
      <c r="A21" s="32">
        <v>45915.0</v>
      </c>
      <c r="B21" s="8">
        <v>0.03248064624705482</v>
      </c>
      <c r="C21" s="8">
        <v>-0.01892689703073458</v>
      </c>
    </row>
    <row r="22">
      <c r="A22" s="32">
        <v>45908.0</v>
      </c>
      <c r="B22" s="8">
        <v>-0.04454092297797063</v>
      </c>
      <c r="C22" s="8">
        <v>-0.01656420765027322</v>
      </c>
    </row>
    <row r="23">
      <c r="A23" s="32">
        <v>45901.0</v>
      </c>
      <c r="B23" s="8">
        <v>0.029465320311206744</v>
      </c>
      <c r="C23" s="8">
        <v>-0.003912229971083425</v>
      </c>
    </row>
    <row r="24">
      <c r="A24" s="32">
        <v>45894.0</v>
      </c>
      <c r="B24" s="8">
        <v>0.002988543914992592</v>
      </c>
      <c r="C24" s="8">
        <v>-0.004065729290191444</v>
      </c>
    </row>
    <row r="25">
      <c r="A25" s="32">
        <v>45887.0</v>
      </c>
      <c r="B25" s="8">
        <v>-0.027685850351118035</v>
      </c>
      <c r="C25" s="8">
        <v>0.030102085332867956</v>
      </c>
    </row>
    <row r="26">
      <c r="A26" s="32">
        <v>45880.0</v>
      </c>
      <c r="B26" s="8">
        <v>0.022532188841201783</v>
      </c>
      <c r="C26" s="8">
        <v>0.02632757231127436</v>
      </c>
    </row>
    <row r="27">
      <c r="A27" s="32">
        <v>45873.0</v>
      </c>
      <c r="B27" s="8">
        <v>0.045744864491627846</v>
      </c>
      <c r="C27" s="8">
        <v>-0.03574820827216996</v>
      </c>
    </row>
    <row r="28">
      <c r="A28" s="32">
        <v>45866.0</v>
      </c>
      <c r="B28" s="8">
        <v>-0.0185514612452351</v>
      </c>
      <c r="C28" s="8">
        <v>-0.04011603812681308</v>
      </c>
    </row>
    <row r="29">
      <c r="A29" s="32">
        <v>45859.0</v>
      </c>
      <c r="B29" s="8">
        <v>-0.023734700628514793</v>
      </c>
      <c r="C29" s="8">
        <v>4.145936981758691E-4</v>
      </c>
    </row>
    <row r="30">
      <c r="A30" s="32">
        <v>45852.0</v>
      </c>
      <c r="B30" s="8">
        <v>-0.028833025459802486</v>
      </c>
      <c r="C30" s="8">
        <v>0.012934654795901057</v>
      </c>
    </row>
    <row r="31">
      <c r="A31" s="32">
        <v>45845.0</v>
      </c>
      <c r="B31" s="8">
        <v>-0.04016342892383595</v>
      </c>
      <c r="C31" s="8">
        <v>-0.03336851506048555</v>
      </c>
    </row>
    <row r="32">
      <c r="A32" s="32">
        <v>45838.0</v>
      </c>
      <c r="B32" s="8">
        <v>-0.019575239966744817</v>
      </c>
      <c r="C32" s="8">
        <v>0.01793388429752074</v>
      </c>
    </row>
    <row r="33">
      <c r="A33" s="32">
        <v>45831.0</v>
      </c>
      <c r="B33" s="8">
        <v>0.07446808510638303</v>
      </c>
      <c r="C33" s="8">
        <v>0.04005501117414467</v>
      </c>
    </row>
    <row r="34">
      <c r="A34" s="32">
        <v>45824.0</v>
      </c>
      <c r="B34" s="8">
        <v>0.015922778648626457</v>
      </c>
      <c r="C34" s="8">
        <v>-0.0026575225032147154</v>
      </c>
    </row>
    <row r="35">
      <c r="A35" s="32">
        <v>45817.0</v>
      </c>
      <c r="B35" s="8">
        <v>-0.023681031010874043</v>
      </c>
      <c r="C35" s="8">
        <v>0.03550821127385717</v>
      </c>
    </row>
    <row r="36">
      <c r="A36" s="32">
        <v>45810.0</v>
      </c>
      <c r="B36" s="8">
        <v>0.028412856196156522</v>
      </c>
      <c r="C36" s="8">
        <v>0.007602862254025178</v>
      </c>
    </row>
    <row r="37">
      <c r="A37" s="42">
        <v>45803.0</v>
      </c>
      <c r="B37" s="8">
        <v>0.018390416736966397</v>
      </c>
      <c r="C37" s="8">
        <v>0.030224843346848607</v>
      </c>
    </row>
    <row r="38">
      <c r="A38" s="42">
        <v>45796.0</v>
      </c>
      <c r="B38" s="8">
        <v>-0.005119597146454047</v>
      </c>
      <c r="C38" s="8">
        <v>-0.03262613656623292</v>
      </c>
    </row>
    <row r="39">
      <c r="A39" s="42">
        <v>45789.0</v>
      </c>
      <c r="B39" s="8">
        <v>0.04499210664795661</v>
      </c>
      <c r="C39" s="8">
        <v>0.07062416491696899</v>
      </c>
    </row>
    <row r="40">
      <c r="A40" s="42">
        <v>45782.0</v>
      </c>
      <c r="B40" s="8">
        <v>-0.014094249891915323</v>
      </c>
      <c r="C40" s="8">
        <v>0.14538696982947097</v>
      </c>
    </row>
    <row r="41">
      <c r="A41" s="32">
        <v>45775.0</v>
      </c>
      <c r="B41" s="8">
        <v>0.049931911030413056</v>
      </c>
      <c r="C41" s="8">
        <v>0.02452682271250972</v>
      </c>
    </row>
    <row r="42">
      <c r="A42" s="32">
        <v>45768.0</v>
      </c>
      <c r="B42" s="8">
        <v>0.13206577595066804</v>
      </c>
      <c r="C42" s="8">
        <v>0.06449690033381028</v>
      </c>
    </row>
    <row r="43">
      <c r="A43" s="32">
        <v>45761.0</v>
      </c>
      <c r="B43" s="8">
        <v>0.05956659043885448</v>
      </c>
      <c r="C43" s="8">
        <v>-9.52834683182413E-4</v>
      </c>
    </row>
    <row r="44">
      <c r="A44" s="32">
        <v>45754.0</v>
      </c>
      <c r="B44" s="8">
        <v>0.0729057132842621</v>
      </c>
      <c r="C44" s="8">
        <v>0.016218833212297223</v>
      </c>
    </row>
    <row r="45">
      <c r="A45" s="32">
        <v>45747.0</v>
      </c>
      <c r="B45" s="8">
        <v>-0.08352071956312235</v>
      </c>
      <c r="C45" s="8">
        <v>-0.14824742268041236</v>
      </c>
    </row>
    <row r="46">
      <c r="A46" s="32">
        <v>45740.0</v>
      </c>
      <c r="B46" s="8">
        <v>-0.027491408934707917</v>
      </c>
      <c r="C46" s="8">
        <v>-0.013927010267357987</v>
      </c>
    </row>
    <row r="47">
      <c r="A47" s="32">
        <v>45733.0</v>
      </c>
      <c r="B47" s="8">
        <v>0.04607843137254908</v>
      </c>
      <c r="C47" s="8">
        <v>0.008302583025830312</v>
      </c>
    </row>
    <row r="48">
      <c r="A48" s="32">
        <v>45726.0</v>
      </c>
      <c r="B48" s="8">
        <v>0.030187408820558925</v>
      </c>
      <c r="C48" s="8">
        <v>-0.06515906477577615</v>
      </c>
    </row>
    <row r="49">
      <c r="A49" s="32">
        <v>45719.0</v>
      </c>
      <c r="B49" s="8">
        <v>-0.09127065062206818</v>
      </c>
      <c r="C49" s="8">
        <v>-0.07285003553660274</v>
      </c>
    </row>
    <row r="50">
      <c r="A50" s="32">
        <v>45712.0</v>
      </c>
      <c r="B50" s="8">
        <v>-0.022527910685805286</v>
      </c>
      <c r="C50" s="8">
        <v>0.04736205452684472</v>
      </c>
    </row>
    <row r="51">
      <c r="A51" s="32">
        <v>45705.0</v>
      </c>
      <c r="B51" s="8">
        <v>-0.05233327035707547</v>
      </c>
      <c r="C51" s="8">
        <v>-0.015572043601722152</v>
      </c>
    </row>
    <row r="52">
      <c r="A52" s="32">
        <v>45698.0</v>
      </c>
      <c r="B52" s="8">
        <v>0.04408718808560996</v>
      </c>
      <c r="C52" s="8">
        <v>-0.004377564979480164</v>
      </c>
    </row>
    <row r="53">
      <c r="A53" s="32"/>
      <c r="B53" s="28"/>
    </row>
    <row r="54">
      <c r="A54" s="32"/>
    </row>
    <row r="55">
      <c r="A55" s="30"/>
    </row>
    <row r="56">
      <c r="A56" s="30"/>
    </row>
    <row r="57">
      <c r="A57" s="30"/>
    </row>
    <row r="58">
      <c r="A58" s="30"/>
    </row>
    <row r="59">
      <c r="A59" s="30"/>
    </row>
    <row r="60">
      <c r="A60" s="30"/>
    </row>
    <row r="61">
      <c r="A61" s="30"/>
    </row>
    <row r="62">
      <c r="A62" s="30"/>
    </row>
    <row r="63">
      <c r="A63" s="30"/>
    </row>
    <row r="64">
      <c r="A64" s="30"/>
    </row>
    <row r="65">
      <c r="A65" s="30"/>
    </row>
    <row r="66">
      <c r="A66" s="30"/>
    </row>
    <row r="67">
      <c r="A67" s="30"/>
    </row>
    <row r="68">
      <c r="A68" s="30"/>
    </row>
    <row r="69">
      <c r="A69" s="30"/>
    </row>
    <row r="70">
      <c r="A70" s="30"/>
    </row>
    <row r="71">
      <c r="A71" s="30"/>
    </row>
    <row r="72">
      <c r="A72" s="30"/>
    </row>
    <row r="73">
      <c r="A73" s="30"/>
    </row>
    <row r="74">
      <c r="A74" s="30"/>
    </row>
    <row r="75">
      <c r="A75" s="30"/>
    </row>
    <row r="76">
      <c r="A76" s="30"/>
    </row>
    <row r="77">
      <c r="A77" s="30"/>
    </row>
    <row r="78">
      <c r="A78" s="30"/>
    </row>
    <row r="79">
      <c r="A79" s="30"/>
    </row>
    <row r="80">
      <c r="A80" s="30"/>
    </row>
    <row r="81">
      <c r="A81" s="30"/>
    </row>
    <row r="82">
      <c r="A82" s="30"/>
    </row>
    <row r="83">
      <c r="A83" s="30"/>
    </row>
    <row r="84">
      <c r="A84" s="30"/>
    </row>
    <row r="85">
      <c r="A85" s="30"/>
    </row>
    <row r="86">
      <c r="A86" s="30"/>
    </row>
    <row r="87">
      <c r="A87" s="30"/>
    </row>
    <row r="88">
      <c r="A88" s="30"/>
    </row>
    <row r="89">
      <c r="A89" s="30"/>
    </row>
    <row r="90">
      <c r="A90" s="30"/>
    </row>
    <row r="91">
      <c r="A91" s="30"/>
    </row>
    <row r="92">
      <c r="A92" s="30"/>
    </row>
    <row r="93">
      <c r="A93" s="30"/>
    </row>
    <row r="94">
      <c r="A94" s="30"/>
    </row>
    <row r="95">
      <c r="A95" s="30"/>
    </row>
    <row r="96">
      <c r="A96" s="30"/>
    </row>
    <row r="97">
      <c r="A97" s="30"/>
    </row>
    <row r="98">
      <c r="A98" s="30"/>
    </row>
    <row r="99">
      <c r="A99" s="30"/>
    </row>
    <row r="100">
      <c r="A100" s="30"/>
    </row>
    <row r="101">
      <c r="A101" s="30"/>
    </row>
    <row r="102">
      <c r="A102" s="30"/>
    </row>
    <row r="103">
      <c r="A103" s="30"/>
    </row>
    <row r="104">
      <c r="A104" s="30"/>
    </row>
    <row r="105">
      <c r="A105" s="30"/>
    </row>
    <row r="106">
      <c r="A106" s="30"/>
    </row>
    <row r="107">
      <c r="A107" s="30"/>
    </row>
    <row r="108">
      <c r="A108" s="30"/>
    </row>
    <row r="109">
      <c r="A109" s="30"/>
    </row>
    <row r="110">
      <c r="A110" s="30"/>
    </row>
    <row r="111">
      <c r="A111" s="30"/>
    </row>
    <row r="112">
      <c r="A112" s="30"/>
    </row>
    <row r="113">
      <c r="A113" s="30"/>
    </row>
    <row r="114">
      <c r="A114" s="30"/>
    </row>
    <row r="115">
      <c r="A115" s="30"/>
    </row>
    <row r="116">
      <c r="A116" s="30"/>
    </row>
    <row r="117">
      <c r="A117" s="30"/>
    </row>
    <row r="118">
      <c r="A118" s="30"/>
    </row>
    <row r="119">
      <c r="A119" s="30"/>
    </row>
    <row r="120">
      <c r="A120" s="30"/>
    </row>
    <row r="121">
      <c r="A121" s="30"/>
    </row>
    <row r="122">
      <c r="A122" s="30"/>
    </row>
    <row r="123">
      <c r="A123" s="30"/>
    </row>
    <row r="124">
      <c r="A124" s="30"/>
    </row>
    <row r="125">
      <c r="A125" s="30"/>
    </row>
    <row r="126">
      <c r="A126" s="30"/>
    </row>
    <row r="127">
      <c r="A127" s="30"/>
    </row>
    <row r="128">
      <c r="A128" s="30"/>
    </row>
    <row r="129">
      <c r="A129" s="30"/>
    </row>
    <row r="130">
      <c r="A130" s="30"/>
    </row>
    <row r="131">
      <c r="A131" s="30"/>
    </row>
    <row r="132">
      <c r="A132" s="30"/>
    </row>
    <row r="133">
      <c r="A133" s="30"/>
    </row>
    <row r="134">
      <c r="A134" s="30"/>
    </row>
    <row r="135">
      <c r="A135" s="30"/>
    </row>
    <row r="136">
      <c r="A136" s="30"/>
    </row>
    <row r="137">
      <c r="A137" s="30"/>
    </row>
    <row r="138">
      <c r="A138" s="30"/>
    </row>
    <row r="139">
      <c r="A139" s="30"/>
    </row>
    <row r="140">
      <c r="A140" s="30"/>
    </row>
    <row r="141">
      <c r="A141" s="30"/>
    </row>
    <row r="142">
      <c r="A142" s="30"/>
    </row>
    <row r="143">
      <c r="A143" s="30"/>
    </row>
    <row r="144">
      <c r="A144" s="30"/>
    </row>
    <row r="145">
      <c r="A145" s="30"/>
    </row>
    <row r="146">
      <c r="A146" s="30"/>
    </row>
    <row r="147">
      <c r="A147" s="30"/>
    </row>
    <row r="148">
      <c r="A148" s="30"/>
    </row>
    <row r="149">
      <c r="A149" s="30"/>
    </row>
    <row r="150">
      <c r="A150" s="30"/>
    </row>
    <row r="151">
      <c r="A151" s="30"/>
    </row>
    <row r="152">
      <c r="A152" s="30"/>
    </row>
    <row r="153">
      <c r="A153" s="30"/>
    </row>
    <row r="154">
      <c r="A154" s="30"/>
    </row>
    <row r="155">
      <c r="A155" s="30"/>
    </row>
    <row r="156">
      <c r="A156" s="30"/>
    </row>
    <row r="157">
      <c r="A157" s="30"/>
    </row>
    <row r="158">
      <c r="A158" s="30"/>
    </row>
    <row r="159">
      <c r="A159" s="30"/>
    </row>
    <row r="160">
      <c r="A160" s="30"/>
    </row>
    <row r="161">
      <c r="A161" s="30"/>
    </row>
    <row r="162">
      <c r="A162" s="30"/>
    </row>
    <row r="163">
      <c r="A163" s="30"/>
    </row>
    <row r="164">
      <c r="A164" s="30"/>
    </row>
    <row r="165">
      <c r="A165" s="30"/>
    </row>
    <row r="166">
      <c r="A166" s="30"/>
    </row>
    <row r="167">
      <c r="A167" s="30"/>
    </row>
    <row r="168">
      <c r="A168" s="30"/>
    </row>
    <row r="169">
      <c r="A169" s="30"/>
    </row>
    <row r="170">
      <c r="A170" s="30"/>
    </row>
    <row r="171">
      <c r="A171" s="30"/>
    </row>
    <row r="172">
      <c r="A172" s="30"/>
    </row>
    <row r="173">
      <c r="A173" s="30"/>
    </row>
    <row r="174">
      <c r="A174" s="30"/>
    </row>
    <row r="175">
      <c r="A175" s="30"/>
    </row>
    <row r="176">
      <c r="A176" s="30"/>
    </row>
    <row r="177">
      <c r="A177" s="30"/>
    </row>
    <row r="178">
      <c r="A178" s="30"/>
    </row>
    <row r="179">
      <c r="A179" s="30"/>
    </row>
    <row r="180">
      <c r="A180" s="30"/>
    </row>
    <row r="181">
      <c r="A181" s="30"/>
    </row>
    <row r="182">
      <c r="A182" s="30"/>
    </row>
    <row r="183">
      <c r="A183" s="30"/>
    </row>
    <row r="184">
      <c r="A184" s="30"/>
    </row>
    <row r="185">
      <c r="A185" s="30"/>
    </row>
    <row r="186">
      <c r="A186" s="30"/>
    </row>
    <row r="187">
      <c r="A187" s="30"/>
    </row>
    <row r="188">
      <c r="A188" s="30"/>
    </row>
    <row r="189">
      <c r="A189" s="30"/>
    </row>
    <row r="190">
      <c r="A190" s="30"/>
    </row>
    <row r="191">
      <c r="A191" s="30"/>
    </row>
    <row r="192">
      <c r="A192" s="30"/>
    </row>
    <row r="193">
      <c r="A193" s="30"/>
    </row>
    <row r="194">
      <c r="A194" s="30"/>
    </row>
    <row r="195">
      <c r="A195" s="30"/>
    </row>
    <row r="196">
      <c r="A196" s="30"/>
    </row>
    <row r="197">
      <c r="A197" s="30"/>
    </row>
    <row r="198">
      <c r="A198" s="30"/>
    </row>
    <row r="199">
      <c r="A199" s="30"/>
    </row>
    <row r="200">
      <c r="A200" s="30"/>
    </row>
    <row r="201">
      <c r="A201" s="30"/>
    </row>
    <row r="202">
      <c r="A202" s="30"/>
    </row>
    <row r="203">
      <c r="A203" s="30"/>
    </row>
    <row r="204">
      <c r="A204" s="30"/>
    </row>
    <row r="205">
      <c r="A205" s="30"/>
    </row>
    <row r="206">
      <c r="A206" s="30"/>
    </row>
    <row r="207">
      <c r="A207" s="30"/>
    </row>
    <row r="208">
      <c r="A208" s="30"/>
    </row>
    <row r="209">
      <c r="A209" s="30"/>
    </row>
    <row r="210">
      <c r="A210" s="30"/>
    </row>
    <row r="211">
      <c r="A211" s="30"/>
    </row>
    <row r="212">
      <c r="A212" s="30"/>
    </row>
    <row r="213">
      <c r="A213" s="30"/>
    </row>
    <row r="214">
      <c r="A214" s="30"/>
    </row>
    <row r="215">
      <c r="A215" s="30"/>
    </row>
    <row r="216">
      <c r="A216" s="30"/>
    </row>
    <row r="217">
      <c r="A217" s="30"/>
    </row>
    <row r="218">
      <c r="A218" s="30"/>
    </row>
    <row r="219">
      <c r="A219" s="30"/>
    </row>
    <row r="220">
      <c r="A220" s="30"/>
    </row>
    <row r="221">
      <c r="A221" s="30"/>
    </row>
    <row r="222">
      <c r="A222" s="30"/>
    </row>
    <row r="223">
      <c r="A223" s="30"/>
    </row>
    <row r="224">
      <c r="A224" s="30"/>
    </row>
    <row r="225">
      <c r="A225" s="30"/>
    </row>
    <row r="226">
      <c r="A226" s="30"/>
    </row>
    <row r="227">
      <c r="A227" s="30"/>
    </row>
    <row r="228">
      <c r="A228" s="30"/>
    </row>
    <row r="229">
      <c r="A229" s="30"/>
    </row>
    <row r="230">
      <c r="A230" s="30"/>
    </row>
    <row r="231">
      <c r="A231" s="30"/>
    </row>
    <row r="232">
      <c r="A232" s="30"/>
    </row>
    <row r="233">
      <c r="A233" s="30"/>
    </row>
    <row r="234">
      <c r="A234" s="30"/>
    </row>
    <row r="235">
      <c r="A235" s="30"/>
    </row>
    <row r="236">
      <c r="A236" s="30"/>
    </row>
    <row r="237">
      <c r="A237" s="30"/>
    </row>
    <row r="238">
      <c r="A238" s="30"/>
    </row>
    <row r="239">
      <c r="A239" s="30"/>
    </row>
    <row r="240">
      <c r="A240" s="30"/>
    </row>
    <row r="241">
      <c r="A241" s="30"/>
    </row>
    <row r="242">
      <c r="A242" s="30"/>
    </row>
    <row r="243">
      <c r="A243" s="30"/>
    </row>
    <row r="244">
      <c r="A244" s="30"/>
    </row>
    <row r="245">
      <c r="A245" s="30"/>
    </row>
    <row r="246">
      <c r="A246" s="30"/>
    </row>
    <row r="247">
      <c r="A247" s="30"/>
    </row>
    <row r="248">
      <c r="A248" s="30"/>
    </row>
    <row r="249">
      <c r="A249" s="30"/>
    </row>
    <row r="250">
      <c r="A250" s="30"/>
    </row>
    <row r="251">
      <c r="A251" s="30"/>
    </row>
    <row r="252">
      <c r="A252" s="30"/>
    </row>
    <row r="253">
      <c r="A253" s="30"/>
    </row>
    <row r="254">
      <c r="A254" s="30"/>
    </row>
    <row r="255">
      <c r="A255" s="30"/>
    </row>
    <row r="256">
      <c r="A256" s="30"/>
    </row>
    <row r="257">
      <c r="A257" s="30"/>
    </row>
    <row r="258">
      <c r="A258" s="30"/>
    </row>
    <row r="259">
      <c r="A259" s="30"/>
    </row>
    <row r="260">
      <c r="A260" s="30"/>
    </row>
    <row r="261">
      <c r="A261" s="30"/>
    </row>
    <row r="262">
      <c r="A262" s="30"/>
    </row>
    <row r="263">
      <c r="A263" s="30"/>
    </row>
    <row r="264">
      <c r="A264" s="30"/>
    </row>
    <row r="265">
      <c r="A265" s="30"/>
    </row>
    <row r="266">
      <c r="A266" s="30"/>
    </row>
    <row r="267">
      <c r="A267" s="30"/>
    </row>
    <row r="268">
      <c r="A268" s="30"/>
    </row>
    <row r="269">
      <c r="A269" s="30"/>
    </row>
    <row r="270">
      <c r="A270" s="30"/>
    </row>
    <row r="271">
      <c r="A271" s="30"/>
    </row>
    <row r="272">
      <c r="A272" s="30"/>
    </row>
    <row r="273">
      <c r="A273" s="30"/>
    </row>
    <row r="274">
      <c r="A274" s="30"/>
    </row>
    <row r="275">
      <c r="A275" s="30"/>
    </row>
    <row r="276">
      <c r="A276" s="30"/>
    </row>
    <row r="277">
      <c r="A277" s="30"/>
    </row>
    <row r="278">
      <c r="A278" s="30"/>
    </row>
    <row r="279">
      <c r="A279" s="30"/>
    </row>
    <row r="280">
      <c r="A280" s="30"/>
    </row>
    <row r="281">
      <c r="A281" s="30"/>
    </row>
    <row r="282">
      <c r="A282" s="30"/>
    </row>
    <row r="283">
      <c r="A283" s="30"/>
    </row>
    <row r="284">
      <c r="A284" s="30"/>
    </row>
    <row r="285">
      <c r="A285" s="30"/>
    </row>
    <row r="286">
      <c r="A286" s="30"/>
    </row>
    <row r="287">
      <c r="A287" s="30"/>
    </row>
    <row r="288">
      <c r="A288" s="30"/>
    </row>
    <row r="289">
      <c r="A289" s="30"/>
    </row>
    <row r="290">
      <c r="A290" s="30"/>
    </row>
    <row r="291">
      <c r="A291" s="30"/>
    </row>
    <row r="292">
      <c r="A292" s="30"/>
    </row>
    <row r="293">
      <c r="A293" s="30"/>
    </row>
    <row r="294">
      <c r="A294" s="30"/>
    </row>
    <row r="295">
      <c r="A295" s="30"/>
    </row>
    <row r="296">
      <c r="A296" s="30"/>
    </row>
    <row r="297">
      <c r="A297" s="30"/>
    </row>
    <row r="298">
      <c r="A298" s="30"/>
    </row>
    <row r="299">
      <c r="A299" s="30"/>
    </row>
    <row r="300">
      <c r="A300" s="30"/>
    </row>
    <row r="301">
      <c r="A301" s="30"/>
    </row>
    <row r="302">
      <c r="A302" s="30"/>
    </row>
    <row r="303">
      <c r="A303" s="30"/>
    </row>
    <row r="304">
      <c r="A304" s="30"/>
    </row>
    <row r="305">
      <c r="A305" s="30"/>
    </row>
    <row r="306">
      <c r="A306" s="30"/>
    </row>
    <row r="307">
      <c r="A307" s="30"/>
    </row>
    <row r="308">
      <c r="A308" s="30"/>
    </row>
    <row r="309">
      <c r="A309" s="30"/>
    </row>
    <row r="310">
      <c r="A310" s="30"/>
    </row>
    <row r="311">
      <c r="A311" s="30"/>
    </row>
    <row r="312">
      <c r="A312" s="30"/>
    </row>
    <row r="313">
      <c r="A313" s="30"/>
    </row>
    <row r="314">
      <c r="A314" s="30"/>
    </row>
    <row r="315">
      <c r="A315" s="30"/>
    </row>
    <row r="316">
      <c r="A316" s="30"/>
    </row>
    <row r="317">
      <c r="A317" s="30"/>
    </row>
    <row r="318">
      <c r="A318" s="30"/>
    </row>
    <row r="319">
      <c r="A319" s="30"/>
    </row>
    <row r="320">
      <c r="A320" s="30"/>
    </row>
    <row r="321">
      <c r="A321" s="30"/>
    </row>
    <row r="322">
      <c r="A322" s="30"/>
    </row>
    <row r="323">
      <c r="A323" s="30"/>
    </row>
    <row r="324">
      <c r="A324" s="30"/>
    </row>
    <row r="325">
      <c r="A325" s="30"/>
    </row>
    <row r="326">
      <c r="A326" s="30"/>
    </row>
    <row r="327">
      <c r="A327" s="30"/>
    </row>
    <row r="328">
      <c r="A328" s="30"/>
    </row>
    <row r="329">
      <c r="A329" s="30"/>
    </row>
    <row r="330">
      <c r="A330" s="30"/>
    </row>
    <row r="331">
      <c r="A331" s="30"/>
    </row>
    <row r="332">
      <c r="A332" s="30"/>
    </row>
    <row r="333">
      <c r="A333" s="30"/>
    </row>
    <row r="334">
      <c r="A334" s="30"/>
    </row>
    <row r="335">
      <c r="A335" s="30"/>
    </row>
    <row r="336">
      <c r="A336" s="30"/>
    </row>
    <row r="337">
      <c r="A337" s="30"/>
    </row>
    <row r="338">
      <c r="A338" s="30"/>
    </row>
    <row r="339">
      <c r="A339" s="30"/>
    </row>
    <row r="340">
      <c r="A340" s="30"/>
    </row>
    <row r="341">
      <c r="A341" s="30"/>
    </row>
    <row r="342">
      <c r="A342" s="30"/>
    </row>
    <row r="343">
      <c r="A343" s="30"/>
    </row>
    <row r="344">
      <c r="A344" s="30"/>
    </row>
    <row r="345">
      <c r="A345" s="30"/>
    </row>
    <row r="346">
      <c r="A346" s="30"/>
    </row>
    <row r="347">
      <c r="A347" s="30"/>
    </row>
    <row r="348">
      <c r="A348" s="30"/>
    </row>
    <row r="349">
      <c r="A349" s="30"/>
    </row>
    <row r="350">
      <c r="A350" s="30"/>
    </row>
    <row r="351">
      <c r="A351" s="30"/>
    </row>
    <row r="352">
      <c r="A352" s="30"/>
    </row>
    <row r="353">
      <c r="A353" s="30"/>
    </row>
    <row r="354">
      <c r="A354" s="30"/>
    </row>
    <row r="355">
      <c r="A355" s="30"/>
    </row>
    <row r="356">
      <c r="A356" s="30"/>
    </row>
    <row r="357">
      <c r="A357" s="30"/>
    </row>
    <row r="358">
      <c r="A358" s="30"/>
    </row>
    <row r="359">
      <c r="A359" s="30"/>
    </row>
    <row r="360">
      <c r="A360" s="30"/>
    </row>
    <row r="361">
      <c r="A361" s="30"/>
    </row>
    <row r="362">
      <c r="A362" s="30"/>
    </row>
    <row r="363">
      <c r="A363" s="30"/>
    </row>
    <row r="364">
      <c r="A364" s="30"/>
    </row>
    <row r="365">
      <c r="A365" s="30"/>
    </row>
    <row r="366">
      <c r="A366" s="30"/>
    </row>
    <row r="367">
      <c r="A367" s="30"/>
    </row>
    <row r="368">
      <c r="A368" s="30"/>
    </row>
    <row r="369">
      <c r="A369" s="30"/>
    </row>
    <row r="370">
      <c r="A370" s="30"/>
    </row>
    <row r="371">
      <c r="A371" s="30"/>
    </row>
    <row r="372">
      <c r="A372" s="30"/>
    </row>
    <row r="373">
      <c r="A373" s="30"/>
    </row>
    <row r="374">
      <c r="A374" s="30"/>
    </row>
    <row r="375">
      <c r="A375" s="30"/>
    </row>
    <row r="376">
      <c r="A376" s="30"/>
    </row>
    <row r="377">
      <c r="A377" s="30"/>
    </row>
    <row r="378">
      <c r="A378" s="30"/>
    </row>
    <row r="379">
      <c r="A379" s="30"/>
    </row>
    <row r="380">
      <c r="A380" s="30"/>
    </row>
    <row r="381">
      <c r="A381" s="30"/>
    </row>
    <row r="382">
      <c r="A382" s="30"/>
    </row>
    <row r="383">
      <c r="A383" s="30"/>
    </row>
    <row r="384">
      <c r="A384" s="30"/>
    </row>
    <row r="385">
      <c r="A385" s="30"/>
    </row>
    <row r="386">
      <c r="A386" s="30"/>
    </row>
    <row r="387">
      <c r="A387" s="30"/>
    </row>
    <row r="388">
      <c r="A388" s="30"/>
    </row>
    <row r="389">
      <c r="A389" s="30"/>
    </row>
    <row r="390">
      <c r="A390" s="30"/>
    </row>
    <row r="391">
      <c r="A391" s="30"/>
    </row>
    <row r="392">
      <c r="A392" s="30"/>
    </row>
    <row r="393">
      <c r="A393" s="30"/>
    </row>
    <row r="394">
      <c r="A394" s="30"/>
    </row>
    <row r="395">
      <c r="A395" s="30"/>
    </row>
    <row r="396">
      <c r="A396" s="30"/>
    </row>
    <row r="397">
      <c r="A397" s="30"/>
    </row>
    <row r="398">
      <c r="A398" s="30"/>
    </row>
    <row r="399">
      <c r="A399" s="30"/>
    </row>
    <row r="400">
      <c r="A400" s="30"/>
    </row>
    <row r="401">
      <c r="A401" s="30"/>
    </row>
    <row r="402">
      <c r="A402" s="30"/>
    </row>
    <row r="403">
      <c r="A403" s="30"/>
    </row>
    <row r="404">
      <c r="A404" s="30"/>
    </row>
    <row r="405">
      <c r="A405" s="30"/>
    </row>
    <row r="406">
      <c r="A406" s="30"/>
    </row>
    <row r="407">
      <c r="A407" s="30"/>
    </row>
    <row r="408">
      <c r="A408" s="30"/>
    </row>
    <row r="409">
      <c r="A409" s="30"/>
    </row>
    <row r="410">
      <c r="A410" s="30"/>
    </row>
    <row r="411">
      <c r="A411" s="30"/>
    </row>
    <row r="412">
      <c r="A412" s="30"/>
    </row>
    <row r="413">
      <c r="A413" s="30"/>
    </row>
    <row r="414">
      <c r="A414" s="30"/>
    </row>
    <row r="415">
      <c r="A415" s="30"/>
    </row>
    <row r="416">
      <c r="A416" s="30"/>
    </row>
    <row r="417">
      <c r="A417" s="30"/>
    </row>
    <row r="418">
      <c r="A418" s="30"/>
    </row>
    <row r="419">
      <c r="A419" s="30"/>
    </row>
    <row r="420">
      <c r="A420" s="30"/>
    </row>
    <row r="421">
      <c r="A421" s="30"/>
    </row>
    <row r="422">
      <c r="A422" s="30"/>
    </row>
    <row r="423">
      <c r="A423" s="30"/>
    </row>
    <row r="424">
      <c r="A424" s="30"/>
    </row>
    <row r="425">
      <c r="A425" s="30"/>
    </row>
    <row r="426">
      <c r="A426" s="30"/>
    </row>
    <row r="427">
      <c r="A427" s="30"/>
    </row>
    <row r="428">
      <c r="A428" s="30"/>
    </row>
    <row r="429">
      <c r="A429" s="30"/>
    </row>
    <row r="430">
      <c r="A430" s="30"/>
    </row>
    <row r="431">
      <c r="A431" s="30"/>
    </row>
    <row r="432">
      <c r="A432" s="30"/>
    </row>
    <row r="433">
      <c r="A433" s="30"/>
    </row>
    <row r="434">
      <c r="A434" s="30"/>
    </row>
    <row r="435">
      <c r="A435" s="30"/>
    </row>
    <row r="436">
      <c r="A436" s="30"/>
    </row>
    <row r="437">
      <c r="A437" s="30"/>
    </row>
    <row r="438">
      <c r="A438" s="30"/>
    </row>
    <row r="439">
      <c r="A439" s="30"/>
    </row>
    <row r="440">
      <c r="A440" s="30"/>
    </row>
    <row r="441">
      <c r="A441" s="30"/>
    </row>
    <row r="442">
      <c r="A442" s="30"/>
    </row>
    <row r="443">
      <c r="A443" s="30"/>
    </row>
    <row r="444">
      <c r="A444" s="30"/>
    </row>
    <row r="445">
      <c r="A445" s="30"/>
    </row>
    <row r="446">
      <c r="A446" s="30"/>
    </row>
    <row r="447">
      <c r="A447" s="30"/>
    </row>
    <row r="448">
      <c r="A448" s="30"/>
    </row>
    <row r="449">
      <c r="A449" s="30"/>
    </row>
    <row r="450">
      <c r="A450" s="30"/>
    </row>
    <row r="451">
      <c r="A451" s="30"/>
    </row>
    <row r="452">
      <c r="A452" s="30"/>
    </row>
    <row r="453">
      <c r="A453" s="30"/>
    </row>
    <row r="454">
      <c r="A454" s="30"/>
    </row>
    <row r="455">
      <c r="A455" s="30"/>
    </row>
    <row r="456">
      <c r="A456" s="30"/>
    </row>
    <row r="457">
      <c r="A457" s="30"/>
    </row>
    <row r="458">
      <c r="A458" s="30"/>
    </row>
    <row r="459">
      <c r="A459" s="30"/>
    </row>
    <row r="460">
      <c r="A460" s="30"/>
    </row>
    <row r="461">
      <c r="A461" s="30"/>
    </row>
    <row r="462">
      <c r="A462" s="30"/>
    </row>
    <row r="463">
      <c r="A463" s="30"/>
    </row>
    <row r="464">
      <c r="A464" s="30"/>
    </row>
    <row r="465">
      <c r="A465" s="30"/>
    </row>
    <row r="466">
      <c r="A466" s="30"/>
    </row>
    <row r="467">
      <c r="A467" s="30"/>
    </row>
    <row r="468">
      <c r="A468" s="30"/>
    </row>
    <row r="469">
      <c r="A469" s="30"/>
    </row>
    <row r="470">
      <c r="A470" s="30"/>
    </row>
    <row r="471">
      <c r="A471" s="30"/>
    </row>
    <row r="472">
      <c r="A472" s="30"/>
    </row>
    <row r="473">
      <c r="A473" s="30"/>
    </row>
    <row r="474">
      <c r="A474" s="30"/>
    </row>
    <row r="475">
      <c r="A475" s="30"/>
    </row>
    <row r="476">
      <c r="A476" s="30"/>
    </row>
    <row r="477">
      <c r="A477" s="30"/>
    </row>
    <row r="478">
      <c r="A478" s="30"/>
    </row>
    <row r="479">
      <c r="A479" s="30"/>
    </row>
    <row r="480">
      <c r="A480" s="30"/>
    </row>
    <row r="481">
      <c r="A481" s="30"/>
    </row>
    <row r="482">
      <c r="A482" s="30"/>
    </row>
    <row r="483">
      <c r="A483" s="30"/>
    </row>
    <row r="484">
      <c r="A484" s="30"/>
    </row>
    <row r="485">
      <c r="A485" s="30"/>
    </row>
    <row r="486">
      <c r="A486" s="30"/>
    </row>
    <row r="487">
      <c r="A487" s="30"/>
    </row>
    <row r="488">
      <c r="A488" s="30"/>
    </row>
    <row r="489">
      <c r="A489" s="30"/>
    </row>
    <row r="490">
      <c r="A490" s="30"/>
    </row>
    <row r="491">
      <c r="A491" s="30"/>
    </row>
    <row r="492">
      <c r="A492" s="30"/>
    </row>
    <row r="493">
      <c r="A493" s="30"/>
    </row>
    <row r="494">
      <c r="A494" s="30"/>
    </row>
    <row r="495">
      <c r="A495" s="30"/>
    </row>
    <row r="496">
      <c r="A496" s="30"/>
    </row>
    <row r="497">
      <c r="A497" s="30"/>
    </row>
    <row r="498">
      <c r="A498" s="30"/>
    </row>
    <row r="499">
      <c r="A499" s="30"/>
    </row>
    <row r="500">
      <c r="A500" s="30"/>
    </row>
    <row r="501">
      <c r="A501" s="30"/>
    </row>
    <row r="502">
      <c r="A502" s="30"/>
    </row>
    <row r="503">
      <c r="A503" s="30"/>
    </row>
    <row r="504">
      <c r="A504" s="30"/>
    </row>
    <row r="505">
      <c r="A505" s="30"/>
    </row>
    <row r="506">
      <c r="A506" s="30"/>
    </row>
    <row r="507">
      <c r="A507" s="30"/>
    </row>
    <row r="508">
      <c r="A508" s="30"/>
    </row>
    <row r="509">
      <c r="A509" s="30"/>
    </row>
    <row r="510">
      <c r="A510" s="30"/>
    </row>
    <row r="511">
      <c r="A511" s="30"/>
    </row>
    <row r="512">
      <c r="A512" s="30"/>
    </row>
    <row r="513">
      <c r="A513" s="30"/>
    </row>
    <row r="514">
      <c r="A514" s="30"/>
    </row>
    <row r="515">
      <c r="A515" s="30"/>
    </row>
    <row r="516">
      <c r="A516" s="30"/>
    </row>
    <row r="517">
      <c r="A517" s="30"/>
    </row>
    <row r="518">
      <c r="A518" s="30"/>
    </row>
    <row r="519">
      <c r="A519" s="30"/>
    </row>
    <row r="520">
      <c r="A520" s="30"/>
    </row>
    <row r="521">
      <c r="A521" s="30"/>
    </row>
    <row r="522">
      <c r="A522" s="30"/>
    </row>
    <row r="523">
      <c r="A523" s="30"/>
    </row>
    <row r="524">
      <c r="A524" s="30"/>
    </row>
    <row r="525">
      <c r="A525" s="30"/>
    </row>
    <row r="526">
      <c r="A526" s="30"/>
    </row>
    <row r="527">
      <c r="A527" s="30"/>
    </row>
    <row r="528">
      <c r="A528" s="30"/>
    </row>
    <row r="529">
      <c r="A529" s="30"/>
    </row>
    <row r="530">
      <c r="A530" s="30"/>
    </row>
    <row r="531">
      <c r="A531" s="30"/>
    </row>
    <row r="532">
      <c r="A532" s="30"/>
    </row>
    <row r="533">
      <c r="A533" s="30"/>
    </row>
    <row r="534">
      <c r="A534" s="30"/>
    </row>
    <row r="535">
      <c r="A535" s="30"/>
    </row>
    <row r="536">
      <c r="A536" s="30"/>
    </row>
    <row r="537">
      <c r="A537" s="30"/>
    </row>
    <row r="538">
      <c r="A538" s="30"/>
    </row>
    <row r="539">
      <c r="A539" s="30"/>
    </row>
    <row r="540">
      <c r="A540" s="30"/>
    </row>
    <row r="541">
      <c r="A541" s="30"/>
    </row>
    <row r="542">
      <c r="A542" s="30"/>
    </row>
    <row r="543">
      <c r="A543" s="30"/>
    </row>
    <row r="544">
      <c r="A544" s="30"/>
    </row>
    <row r="545">
      <c r="A545" s="30"/>
    </row>
    <row r="546">
      <c r="A546" s="30"/>
    </row>
    <row r="547">
      <c r="A547" s="30"/>
    </row>
    <row r="548">
      <c r="A548" s="30"/>
    </row>
    <row r="549">
      <c r="A549" s="30"/>
    </row>
    <row r="550">
      <c r="A550" s="30"/>
    </row>
    <row r="551">
      <c r="A551" s="30"/>
    </row>
    <row r="552">
      <c r="A552" s="30"/>
    </row>
    <row r="553">
      <c r="A553" s="30"/>
    </row>
    <row r="554">
      <c r="A554" s="30"/>
    </row>
    <row r="555">
      <c r="A555" s="30"/>
    </row>
    <row r="556">
      <c r="A556" s="30"/>
    </row>
    <row r="557">
      <c r="A557" s="30"/>
    </row>
    <row r="558">
      <c r="A558" s="30"/>
    </row>
    <row r="559">
      <c r="A559" s="30"/>
    </row>
    <row r="560">
      <c r="A560" s="30"/>
    </row>
    <row r="561">
      <c r="A561" s="30"/>
    </row>
    <row r="562">
      <c r="A562" s="30"/>
    </row>
    <row r="563">
      <c r="A563" s="30"/>
    </row>
    <row r="564">
      <c r="A564" s="30"/>
    </row>
    <row r="565">
      <c r="A565" s="30"/>
    </row>
    <row r="566">
      <c r="A566" s="30"/>
    </row>
    <row r="567">
      <c r="A567" s="30"/>
    </row>
    <row r="568">
      <c r="A568" s="30"/>
    </row>
    <row r="569">
      <c r="A569" s="30"/>
    </row>
    <row r="570">
      <c r="A570" s="30"/>
    </row>
    <row r="571">
      <c r="A571" s="30"/>
    </row>
    <row r="572">
      <c r="A572" s="30"/>
    </row>
    <row r="573">
      <c r="A573" s="30"/>
    </row>
    <row r="574">
      <c r="A574" s="30"/>
    </row>
    <row r="575">
      <c r="A575" s="30"/>
    </row>
    <row r="576">
      <c r="A576" s="30"/>
    </row>
    <row r="577">
      <c r="A577" s="30"/>
    </row>
    <row r="578">
      <c r="A578" s="30"/>
    </row>
    <row r="579">
      <c r="A579" s="30"/>
    </row>
    <row r="580">
      <c r="A580" s="30"/>
    </row>
    <row r="581">
      <c r="A581" s="30"/>
    </row>
    <row r="582">
      <c r="A582" s="30"/>
    </row>
    <row r="583">
      <c r="A583" s="30"/>
    </row>
    <row r="584">
      <c r="A584" s="30"/>
    </row>
    <row r="585">
      <c r="A585" s="30"/>
    </row>
    <row r="586">
      <c r="A586" s="30"/>
    </row>
    <row r="587">
      <c r="A587" s="30"/>
    </row>
    <row r="588">
      <c r="A588" s="30"/>
    </row>
    <row r="589">
      <c r="A589" s="30"/>
    </row>
    <row r="590">
      <c r="A590" s="30"/>
    </row>
    <row r="591">
      <c r="A591" s="30"/>
    </row>
    <row r="592">
      <c r="A592" s="30"/>
    </row>
    <row r="593">
      <c r="A593" s="30"/>
    </row>
    <row r="594">
      <c r="A594" s="30"/>
    </row>
    <row r="595">
      <c r="A595" s="30"/>
    </row>
    <row r="596">
      <c r="A596" s="30"/>
    </row>
    <row r="597">
      <c r="A597" s="30"/>
    </row>
    <row r="598">
      <c r="A598" s="30"/>
    </row>
    <row r="599">
      <c r="A599" s="30"/>
    </row>
    <row r="600">
      <c r="A600" s="30"/>
    </row>
    <row r="601">
      <c r="A601" s="30"/>
    </row>
    <row r="602">
      <c r="A602" s="30"/>
    </row>
    <row r="603">
      <c r="A603" s="30"/>
    </row>
    <row r="604">
      <c r="A604" s="30"/>
    </row>
    <row r="605">
      <c r="A605" s="30"/>
    </row>
    <row r="606">
      <c r="A606" s="30"/>
    </row>
    <row r="607">
      <c r="A607" s="30"/>
    </row>
    <row r="608">
      <c r="A608" s="30"/>
    </row>
    <row r="609">
      <c r="A609" s="30"/>
    </row>
    <row r="610">
      <c r="A610" s="30"/>
    </row>
    <row r="611">
      <c r="A611" s="30"/>
    </row>
    <row r="612">
      <c r="A612" s="30"/>
    </row>
    <row r="613">
      <c r="A613" s="30"/>
    </row>
    <row r="614">
      <c r="A614" s="30"/>
    </row>
    <row r="615">
      <c r="A615" s="30"/>
    </row>
    <row r="616">
      <c r="A616" s="30"/>
    </row>
    <row r="617">
      <c r="A617" s="30"/>
    </row>
    <row r="618">
      <c r="A618" s="30"/>
    </row>
    <row r="619">
      <c r="A619" s="30"/>
    </row>
    <row r="620">
      <c r="A620" s="30"/>
    </row>
    <row r="621">
      <c r="A621" s="30"/>
    </row>
    <row r="622">
      <c r="A622" s="30"/>
    </row>
    <row r="623">
      <c r="A623" s="30"/>
    </row>
    <row r="624">
      <c r="A624" s="30"/>
    </row>
    <row r="625">
      <c r="A625" s="30"/>
    </row>
    <row r="626">
      <c r="A626" s="30"/>
    </row>
    <row r="627">
      <c r="A627" s="30"/>
    </row>
    <row r="628">
      <c r="A628" s="30"/>
    </row>
    <row r="629">
      <c r="A629" s="30"/>
    </row>
    <row r="630">
      <c r="A630" s="30"/>
    </row>
    <row r="631">
      <c r="A631" s="30"/>
    </row>
    <row r="632">
      <c r="A632" s="30"/>
    </row>
    <row r="633">
      <c r="A633" s="30"/>
    </row>
    <row r="634">
      <c r="A634" s="30"/>
    </row>
    <row r="635">
      <c r="A635" s="30"/>
    </row>
    <row r="636">
      <c r="A636" s="30"/>
    </row>
    <row r="637">
      <c r="A637" s="30"/>
    </row>
    <row r="638">
      <c r="A638" s="30"/>
    </row>
    <row r="639">
      <c r="A639" s="30"/>
    </row>
    <row r="640">
      <c r="A640" s="30"/>
    </row>
    <row r="641">
      <c r="A641" s="30"/>
    </row>
    <row r="642">
      <c r="A642" s="30"/>
    </row>
    <row r="643">
      <c r="A643" s="30"/>
    </row>
    <row r="644">
      <c r="A644" s="30"/>
    </row>
    <row r="645">
      <c r="A645" s="30"/>
    </row>
    <row r="646">
      <c r="A646" s="30"/>
    </row>
    <row r="647">
      <c r="A647" s="30"/>
    </row>
    <row r="648">
      <c r="A648" s="30"/>
    </row>
    <row r="649">
      <c r="A649" s="30"/>
    </row>
    <row r="650">
      <c r="A650" s="30"/>
    </row>
    <row r="651">
      <c r="A651" s="30"/>
    </row>
    <row r="652">
      <c r="A652" s="30"/>
    </row>
    <row r="653">
      <c r="A653" s="30"/>
    </row>
    <row r="654">
      <c r="A654" s="30"/>
    </row>
    <row r="655">
      <c r="A655" s="30"/>
    </row>
    <row r="656">
      <c r="A656" s="30"/>
    </row>
    <row r="657">
      <c r="A657" s="30"/>
    </row>
    <row r="658">
      <c r="A658" s="30"/>
    </row>
    <row r="659">
      <c r="A659" s="30"/>
    </row>
    <row r="660">
      <c r="A660" s="30"/>
    </row>
    <row r="661">
      <c r="A661" s="30"/>
    </row>
    <row r="662">
      <c r="A662" s="30"/>
    </row>
    <row r="663">
      <c r="A663" s="30"/>
    </row>
    <row r="664">
      <c r="A664" s="30"/>
    </row>
    <row r="665">
      <c r="A665" s="30"/>
    </row>
    <row r="666">
      <c r="A666" s="30"/>
    </row>
    <row r="667">
      <c r="A667" s="30"/>
    </row>
    <row r="668">
      <c r="A668" s="30"/>
    </row>
    <row r="669">
      <c r="A669" s="30"/>
    </row>
    <row r="670">
      <c r="A670" s="30"/>
    </row>
    <row r="671">
      <c r="A671" s="30"/>
    </row>
    <row r="672">
      <c r="A672" s="30"/>
    </row>
    <row r="673">
      <c r="A673" s="30"/>
    </row>
    <row r="674">
      <c r="A674" s="30"/>
    </row>
    <row r="675">
      <c r="A675" s="30"/>
    </row>
    <row r="676">
      <c r="A676" s="30"/>
    </row>
    <row r="677">
      <c r="A677" s="30"/>
    </row>
    <row r="678">
      <c r="A678" s="30"/>
    </row>
    <row r="679">
      <c r="A679" s="30"/>
    </row>
    <row r="680">
      <c r="A680" s="30"/>
    </row>
    <row r="681">
      <c r="A681" s="30"/>
    </row>
    <row r="682">
      <c r="A682" s="30"/>
    </row>
    <row r="683">
      <c r="A683" s="30"/>
    </row>
    <row r="684">
      <c r="A684" s="30"/>
    </row>
    <row r="685">
      <c r="A685" s="30"/>
    </row>
    <row r="686">
      <c r="A686" s="30"/>
    </row>
    <row r="687">
      <c r="A687" s="30"/>
    </row>
    <row r="688">
      <c r="A688" s="30"/>
    </row>
    <row r="689">
      <c r="A689" s="30"/>
    </row>
    <row r="690">
      <c r="A690" s="30"/>
    </row>
    <row r="691">
      <c r="A691" s="30"/>
    </row>
    <row r="692">
      <c r="A692" s="30"/>
    </row>
    <row r="693">
      <c r="A693" s="30"/>
    </row>
    <row r="694">
      <c r="A694" s="30"/>
    </row>
    <row r="695">
      <c r="A695" s="30"/>
    </row>
    <row r="696">
      <c r="A696" s="30"/>
    </row>
    <row r="697">
      <c r="A697" s="30"/>
    </row>
    <row r="698">
      <c r="A698" s="30"/>
    </row>
    <row r="699">
      <c r="A699" s="30"/>
    </row>
    <row r="700">
      <c r="A700" s="30"/>
    </row>
    <row r="701">
      <c r="A701" s="30"/>
    </row>
    <row r="702">
      <c r="A702" s="30"/>
    </row>
    <row r="703">
      <c r="A703" s="30"/>
    </row>
    <row r="704">
      <c r="A704" s="30"/>
    </row>
    <row r="705">
      <c r="A705" s="30"/>
    </row>
    <row r="706">
      <c r="A706" s="30"/>
    </row>
    <row r="707">
      <c r="A707" s="30"/>
    </row>
    <row r="708">
      <c r="A708" s="30"/>
    </row>
    <row r="709">
      <c r="A709" s="30"/>
    </row>
    <row r="710">
      <c r="A710" s="30"/>
    </row>
    <row r="711">
      <c r="A711" s="30"/>
    </row>
    <row r="712">
      <c r="A712" s="30"/>
    </row>
    <row r="713">
      <c r="A713" s="30"/>
    </row>
    <row r="714">
      <c r="A714" s="30"/>
    </row>
    <row r="715">
      <c r="A715" s="30"/>
    </row>
    <row r="716">
      <c r="A716" s="30"/>
    </row>
    <row r="717">
      <c r="A717" s="30"/>
    </row>
    <row r="718">
      <c r="A718" s="30"/>
    </row>
    <row r="719">
      <c r="A719" s="30"/>
    </row>
    <row r="720">
      <c r="A720" s="30"/>
    </row>
    <row r="721">
      <c r="A721" s="30"/>
    </row>
    <row r="722">
      <c r="A722" s="30"/>
    </row>
    <row r="723">
      <c r="A723" s="30"/>
    </row>
    <row r="724">
      <c r="A724" s="30"/>
    </row>
    <row r="725">
      <c r="A725" s="30"/>
    </row>
    <row r="726">
      <c r="A726" s="30"/>
    </row>
    <row r="727">
      <c r="A727" s="30"/>
    </row>
    <row r="728">
      <c r="A728" s="30"/>
    </row>
    <row r="729">
      <c r="A729" s="30"/>
    </row>
    <row r="730">
      <c r="A730" s="30"/>
    </row>
    <row r="731">
      <c r="A731" s="30"/>
    </row>
    <row r="732">
      <c r="A732" s="30"/>
    </row>
    <row r="733">
      <c r="A733" s="30"/>
    </row>
    <row r="734">
      <c r="A734" s="30"/>
    </row>
    <row r="735">
      <c r="A735" s="30"/>
    </row>
    <row r="736">
      <c r="A736" s="30"/>
    </row>
    <row r="737">
      <c r="A737" s="30"/>
    </row>
    <row r="738">
      <c r="A738" s="30"/>
    </row>
    <row r="739">
      <c r="A739" s="30"/>
    </row>
    <row r="740">
      <c r="A740" s="30"/>
    </row>
    <row r="741">
      <c r="A741" s="30"/>
    </row>
    <row r="742">
      <c r="A742" s="30"/>
    </row>
    <row r="743">
      <c r="A743" s="30"/>
    </row>
    <row r="744">
      <c r="A744" s="30"/>
    </row>
    <row r="745">
      <c r="A745" s="30"/>
    </row>
    <row r="746">
      <c r="A746" s="30"/>
    </row>
    <row r="747">
      <c r="A747" s="30"/>
    </row>
    <row r="748">
      <c r="A748" s="30"/>
    </row>
    <row r="749">
      <c r="A749" s="30"/>
    </row>
    <row r="750">
      <c r="A750" s="30"/>
    </row>
    <row r="751">
      <c r="A751" s="30"/>
    </row>
    <row r="752">
      <c r="A752" s="30"/>
    </row>
    <row r="753">
      <c r="A753" s="30"/>
    </row>
    <row r="754">
      <c r="A754" s="30"/>
    </row>
    <row r="755">
      <c r="A755" s="30"/>
    </row>
    <row r="756">
      <c r="A756" s="30"/>
    </row>
    <row r="757">
      <c r="A757" s="30"/>
    </row>
    <row r="758">
      <c r="A758" s="30"/>
    </row>
    <row r="759">
      <c r="A759" s="30"/>
    </row>
    <row r="760">
      <c r="A760" s="30"/>
    </row>
    <row r="761">
      <c r="A761" s="30"/>
    </row>
    <row r="762">
      <c r="A762" s="30"/>
    </row>
    <row r="763">
      <c r="A763" s="30"/>
    </row>
    <row r="764">
      <c r="A764" s="30"/>
    </row>
    <row r="765">
      <c r="A765" s="30"/>
    </row>
    <row r="766">
      <c r="A766" s="30"/>
    </row>
    <row r="767">
      <c r="A767" s="30"/>
    </row>
    <row r="768">
      <c r="A768" s="30"/>
    </row>
    <row r="769">
      <c r="A769" s="30"/>
    </row>
    <row r="770">
      <c r="A770" s="30"/>
    </row>
    <row r="771">
      <c r="A771" s="30"/>
    </row>
    <row r="772">
      <c r="A772" s="30"/>
    </row>
    <row r="773">
      <c r="A773" s="30"/>
    </row>
    <row r="774">
      <c r="A774" s="30"/>
    </row>
    <row r="775">
      <c r="A775" s="30"/>
    </row>
    <row r="776">
      <c r="A776" s="30"/>
    </row>
    <row r="777">
      <c r="A777" s="30"/>
    </row>
    <row r="778">
      <c r="A778" s="30"/>
    </row>
    <row r="779">
      <c r="A779" s="30"/>
    </row>
    <row r="780">
      <c r="A780" s="30"/>
    </row>
    <row r="781">
      <c r="A781" s="30"/>
    </row>
    <row r="782">
      <c r="A782" s="30"/>
    </row>
    <row r="783">
      <c r="A783" s="30"/>
    </row>
    <row r="784">
      <c r="A784" s="30"/>
    </row>
    <row r="785">
      <c r="A785" s="30"/>
    </row>
    <row r="786">
      <c r="A786" s="30"/>
    </row>
    <row r="787">
      <c r="A787" s="30"/>
    </row>
    <row r="788">
      <c r="A788" s="30"/>
    </row>
    <row r="789">
      <c r="A789" s="30"/>
    </row>
    <row r="790">
      <c r="A790" s="30"/>
    </row>
    <row r="791">
      <c r="A791" s="30"/>
    </row>
    <row r="792">
      <c r="A792" s="30"/>
    </row>
    <row r="793">
      <c r="A793" s="30"/>
    </row>
    <row r="794">
      <c r="A794" s="30"/>
    </row>
    <row r="795">
      <c r="A795" s="30"/>
    </row>
    <row r="796">
      <c r="A796" s="30"/>
    </row>
    <row r="797">
      <c r="A797" s="30"/>
    </row>
    <row r="798">
      <c r="A798" s="30"/>
    </row>
    <row r="799">
      <c r="A799" s="30"/>
    </row>
    <row r="800">
      <c r="A800" s="30"/>
    </row>
    <row r="801">
      <c r="A801" s="30"/>
    </row>
    <row r="802">
      <c r="A802" s="30"/>
    </row>
    <row r="803">
      <c r="A803" s="30"/>
    </row>
    <row r="804">
      <c r="A804" s="30"/>
    </row>
    <row r="805">
      <c r="A805" s="30"/>
    </row>
    <row r="806">
      <c r="A806" s="30"/>
    </row>
    <row r="807">
      <c r="A807" s="30"/>
    </row>
    <row r="808">
      <c r="A808" s="30"/>
    </row>
    <row r="809">
      <c r="A809" s="30"/>
    </row>
    <row r="810">
      <c r="A810" s="30"/>
    </row>
    <row r="811">
      <c r="A811" s="30"/>
    </row>
    <row r="812">
      <c r="A812" s="30"/>
    </row>
    <row r="813">
      <c r="A813" s="30"/>
    </row>
    <row r="814">
      <c r="A814" s="30"/>
    </row>
    <row r="815">
      <c r="A815" s="30"/>
    </row>
    <row r="816">
      <c r="A816" s="30"/>
    </row>
    <row r="817">
      <c r="A817" s="30"/>
    </row>
    <row r="818">
      <c r="A818" s="30"/>
    </row>
    <row r="819">
      <c r="A819" s="30"/>
    </row>
    <row r="820">
      <c r="A820" s="30"/>
    </row>
    <row r="821">
      <c r="A821" s="30"/>
    </row>
    <row r="822">
      <c r="A822" s="30"/>
    </row>
    <row r="823">
      <c r="A823" s="30"/>
    </row>
    <row r="824">
      <c r="A824" s="30"/>
    </row>
    <row r="825">
      <c r="A825" s="30"/>
    </row>
    <row r="826">
      <c r="A826" s="30"/>
    </row>
    <row r="827">
      <c r="A827" s="30"/>
    </row>
    <row r="828">
      <c r="A828" s="30"/>
    </row>
    <row r="829">
      <c r="A829" s="30"/>
    </row>
    <row r="830">
      <c r="A830" s="30"/>
    </row>
    <row r="831">
      <c r="A831" s="30"/>
    </row>
    <row r="832">
      <c r="A832" s="30"/>
    </row>
    <row r="833">
      <c r="A833" s="30"/>
    </row>
    <row r="834">
      <c r="A834" s="30"/>
    </row>
    <row r="835">
      <c r="A835" s="30"/>
    </row>
    <row r="836">
      <c r="A836" s="30"/>
    </row>
    <row r="837">
      <c r="A837" s="30"/>
    </row>
    <row r="838">
      <c r="A838" s="30"/>
    </row>
    <row r="839">
      <c r="A839" s="30"/>
    </row>
    <row r="840">
      <c r="A840" s="30"/>
    </row>
    <row r="841">
      <c r="A841" s="30"/>
    </row>
    <row r="842">
      <c r="A842" s="30"/>
    </row>
    <row r="843">
      <c r="A843" s="30"/>
    </row>
    <row r="844">
      <c r="A844" s="30"/>
    </row>
    <row r="845">
      <c r="A845" s="30"/>
    </row>
    <row r="846">
      <c r="A846" s="30"/>
    </row>
    <row r="847">
      <c r="A847" s="30"/>
    </row>
    <row r="848">
      <c r="A848" s="30"/>
    </row>
    <row r="849">
      <c r="A849" s="30"/>
    </row>
    <row r="850">
      <c r="A850" s="30"/>
    </row>
    <row r="851">
      <c r="A851" s="30"/>
    </row>
    <row r="852">
      <c r="A852" s="30"/>
    </row>
    <row r="853">
      <c r="A853" s="30"/>
    </row>
    <row r="854">
      <c r="A854" s="30"/>
    </row>
    <row r="855">
      <c r="A855" s="30"/>
    </row>
    <row r="856">
      <c r="A856" s="30"/>
    </row>
    <row r="857">
      <c r="A857" s="30"/>
    </row>
    <row r="858">
      <c r="A858" s="30"/>
    </row>
    <row r="859">
      <c r="A859" s="30"/>
    </row>
    <row r="860">
      <c r="A860" s="30"/>
    </row>
    <row r="861">
      <c r="A861" s="30"/>
    </row>
    <row r="862">
      <c r="A862" s="30"/>
    </row>
    <row r="863">
      <c r="A863" s="30"/>
    </row>
    <row r="864">
      <c r="A864" s="30"/>
    </row>
    <row r="865">
      <c r="A865" s="30"/>
    </row>
    <row r="866">
      <c r="A866" s="30"/>
    </row>
    <row r="867">
      <c r="A867" s="30"/>
    </row>
    <row r="868">
      <c r="A868" s="30"/>
    </row>
    <row r="869">
      <c r="A869" s="30"/>
    </row>
    <row r="870">
      <c r="A870" s="30"/>
    </row>
    <row r="871">
      <c r="A871" s="30"/>
    </row>
    <row r="872">
      <c r="A872" s="30"/>
    </row>
    <row r="873">
      <c r="A873" s="30"/>
    </row>
    <row r="874">
      <c r="A874" s="30"/>
    </row>
    <row r="875">
      <c r="A875" s="30"/>
    </row>
    <row r="876">
      <c r="A876" s="30"/>
    </row>
    <row r="877">
      <c r="A877" s="30"/>
    </row>
    <row r="878">
      <c r="A878" s="30"/>
    </row>
    <row r="879">
      <c r="A879" s="30"/>
    </row>
    <row r="880">
      <c r="A880" s="30"/>
    </row>
    <row r="881">
      <c r="A881" s="30"/>
    </row>
    <row r="882">
      <c r="A882" s="30"/>
    </row>
    <row r="883">
      <c r="A883" s="30"/>
    </row>
    <row r="884">
      <c r="A884" s="30"/>
    </row>
    <row r="885">
      <c r="A885" s="30"/>
    </row>
    <row r="886">
      <c r="A886" s="30"/>
    </row>
    <row r="887">
      <c r="A887" s="30"/>
    </row>
    <row r="888">
      <c r="A888" s="30"/>
    </row>
    <row r="889">
      <c r="A889" s="30"/>
    </row>
    <row r="890">
      <c r="A890" s="30"/>
    </row>
    <row r="891">
      <c r="A891" s="30"/>
    </row>
    <row r="892">
      <c r="A892" s="30"/>
    </row>
    <row r="893">
      <c r="A893" s="30"/>
    </row>
    <row r="894">
      <c r="A894" s="30"/>
    </row>
    <row r="895">
      <c r="A895" s="30"/>
    </row>
    <row r="896">
      <c r="A896" s="30"/>
    </row>
    <row r="897">
      <c r="A897" s="30"/>
    </row>
    <row r="898">
      <c r="A898" s="30"/>
    </row>
    <row r="899">
      <c r="A899" s="30"/>
    </row>
    <row r="900">
      <c r="A900" s="30"/>
    </row>
    <row r="901">
      <c r="A901" s="30"/>
    </row>
    <row r="902">
      <c r="A902" s="30"/>
    </row>
    <row r="903">
      <c r="A903" s="30"/>
    </row>
    <row r="904">
      <c r="A904" s="30"/>
    </row>
    <row r="905">
      <c r="A905" s="30"/>
    </row>
    <row r="906">
      <c r="A906" s="30"/>
    </row>
    <row r="907">
      <c r="A907" s="30"/>
    </row>
    <row r="908">
      <c r="A908" s="30"/>
    </row>
    <row r="909">
      <c r="A909" s="30"/>
    </row>
    <row r="910">
      <c r="A910" s="30"/>
    </row>
    <row r="911">
      <c r="A911" s="30"/>
    </row>
    <row r="912">
      <c r="A912" s="30"/>
    </row>
    <row r="913">
      <c r="A913" s="30"/>
    </row>
    <row r="914">
      <c r="A914" s="30"/>
    </row>
    <row r="915">
      <c r="A915" s="30"/>
    </row>
    <row r="916">
      <c r="A916" s="30"/>
    </row>
    <row r="917">
      <c r="A917" s="30"/>
    </row>
    <row r="918">
      <c r="A918" s="30"/>
    </row>
    <row r="919">
      <c r="A919" s="30"/>
    </row>
    <row r="920">
      <c r="A920" s="30"/>
    </row>
    <row r="921">
      <c r="A921" s="30"/>
    </row>
    <row r="922">
      <c r="A922" s="30"/>
    </row>
    <row r="923">
      <c r="A923" s="30"/>
    </row>
    <row r="924">
      <c r="A924" s="30"/>
    </row>
    <row r="925">
      <c r="A925" s="30"/>
    </row>
    <row r="926">
      <c r="A926" s="30"/>
    </row>
    <row r="927">
      <c r="A927" s="30"/>
    </row>
    <row r="928">
      <c r="A928" s="30"/>
    </row>
    <row r="929">
      <c r="A929" s="30"/>
    </row>
    <row r="930">
      <c r="A930" s="30"/>
    </row>
    <row r="931">
      <c r="A931" s="30"/>
    </row>
    <row r="932">
      <c r="A932" s="30"/>
    </row>
    <row r="933">
      <c r="A933" s="30"/>
    </row>
    <row r="934">
      <c r="A934" s="30"/>
    </row>
    <row r="935">
      <c r="A935" s="30"/>
    </row>
    <row r="936">
      <c r="A936" s="30"/>
    </row>
    <row r="937">
      <c r="A937" s="30"/>
    </row>
    <row r="938">
      <c r="A938" s="30"/>
    </row>
    <row r="939">
      <c r="A939" s="30"/>
    </row>
    <row r="940">
      <c r="A940" s="30"/>
    </row>
    <row r="941">
      <c r="A941" s="30"/>
    </row>
    <row r="942">
      <c r="A942" s="30"/>
    </row>
    <row r="943">
      <c r="A943" s="30"/>
    </row>
    <row r="944">
      <c r="A944" s="30"/>
    </row>
    <row r="945">
      <c r="A945" s="30"/>
    </row>
    <row r="946">
      <c r="A946" s="30"/>
    </row>
    <row r="947">
      <c r="A947" s="30"/>
    </row>
    <row r="948">
      <c r="A948" s="30"/>
    </row>
    <row r="949">
      <c r="A949" s="30"/>
    </row>
    <row r="950">
      <c r="A950" s="30"/>
    </row>
    <row r="951">
      <c r="A951" s="30"/>
    </row>
    <row r="952">
      <c r="A952" s="30"/>
    </row>
    <row r="953">
      <c r="A953" s="30"/>
    </row>
    <row r="954">
      <c r="A954" s="30"/>
    </row>
    <row r="955">
      <c r="A955" s="30"/>
    </row>
    <row r="956">
      <c r="A956" s="30"/>
    </row>
    <row r="957">
      <c r="A957" s="30"/>
    </row>
    <row r="958">
      <c r="A958" s="30"/>
    </row>
    <row r="959">
      <c r="A959" s="30"/>
    </row>
    <row r="960">
      <c r="A960" s="30"/>
    </row>
    <row r="961">
      <c r="A961" s="30"/>
    </row>
    <row r="962">
      <c r="A962" s="30"/>
    </row>
    <row r="963">
      <c r="A963" s="30"/>
    </row>
    <row r="964">
      <c r="A964" s="30"/>
    </row>
    <row r="965">
      <c r="A965" s="30"/>
    </row>
    <row r="966">
      <c r="A966" s="30"/>
    </row>
    <row r="967">
      <c r="A967" s="30"/>
    </row>
    <row r="968">
      <c r="A968" s="30"/>
    </row>
    <row r="969">
      <c r="A969" s="30"/>
    </row>
    <row r="970">
      <c r="A970" s="30"/>
    </row>
    <row r="971">
      <c r="A971" s="30"/>
    </row>
    <row r="972">
      <c r="A972" s="30"/>
    </row>
    <row r="973">
      <c r="A973" s="30"/>
    </row>
    <row r="974">
      <c r="A974" s="30"/>
    </row>
    <row r="975">
      <c r="A975" s="30"/>
    </row>
    <row r="976">
      <c r="A976" s="30"/>
    </row>
    <row r="977">
      <c r="A977" s="30"/>
    </row>
    <row r="978">
      <c r="A978" s="30"/>
    </row>
    <row r="979">
      <c r="A979" s="30"/>
    </row>
    <row r="980">
      <c r="A980" s="30"/>
    </row>
    <row r="981">
      <c r="A981" s="30"/>
    </row>
    <row r="982">
      <c r="A982" s="30"/>
    </row>
    <row r="983">
      <c r="A983" s="30"/>
    </row>
    <row r="984">
      <c r="A984" s="30"/>
    </row>
    <row r="985">
      <c r="A985" s="30"/>
    </row>
    <row r="986">
      <c r="A986" s="30"/>
    </row>
    <row r="987">
      <c r="A987" s="30"/>
    </row>
    <row r="988">
      <c r="A988" s="30"/>
    </row>
    <row r="989">
      <c r="A989" s="30"/>
    </row>
    <row r="990">
      <c r="A990" s="30"/>
    </row>
    <row r="991">
      <c r="A991" s="30"/>
    </row>
    <row r="992">
      <c r="A992" s="30"/>
    </row>
    <row r="993">
      <c r="A993" s="30"/>
    </row>
    <row r="994">
      <c r="A994" s="30"/>
    </row>
    <row r="995">
      <c r="A995" s="30"/>
    </row>
    <row r="996">
      <c r="A996" s="30"/>
    </row>
    <row r="997">
      <c r="A997" s="30"/>
    </row>
    <row r="998">
      <c r="A998" s="30"/>
    </row>
    <row r="999">
      <c r="A999" s="30"/>
    </row>
    <row r="1000">
      <c r="A1000" s="30"/>
    </row>
  </sheetData>
  <hyperlinks>
    <hyperlink r:id="rId1" ref="B1"/>
    <hyperlink r:id="rId2" ref="C1"/>
    <hyperlink r:id="rId3" ref="F1"/>
    <hyperlink r:id="rId4" ref="G1"/>
  </hyperlinks>
  <drawing r:id="rId5"/>
  <tableParts count="2">
    <tablePart r:id="rId8"/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3.13"/>
  </cols>
  <sheetData>
    <row r="1">
      <c r="A1" s="29" t="s">
        <v>0</v>
      </c>
      <c r="B1" s="43" t="s">
        <v>1</v>
      </c>
      <c r="C1" s="43" t="s">
        <v>2</v>
      </c>
      <c r="D1" s="19"/>
      <c r="E1" s="44"/>
      <c r="F1" s="43" t="s">
        <v>1</v>
      </c>
      <c r="G1" s="43" t="s">
        <v>2</v>
      </c>
    </row>
    <row r="2">
      <c r="A2" s="32">
        <v>46048.0</v>
      </c>
      <c r="B2" s="34">
        <v>-0.030538783093358224</v>
      </c>
      <c r="C2" s="34">
        <v>0.016399351234456683</v>
      </c>
      <c r="D2" s="20"/>
      <c r="E2" s="45" t="s">
        <v>19</v>
      </c>
      <c r="F2" s="46">
        <f t="shared" ref="F2:G2" si="1">AVERAGE(B2:B52)</f>
        <v>-0.002794805997</v>
      </c>
      <c r="G2" s="46">
        <f t="shared" si="1"/>
        <v>0.001430450845</v>
      </c>
      <c r="H2" s="13" t="s">
        <v>25</v>
      </c>
    </row>
    <row r="3">
      <c r="A3" s="32">
        <v>46041.0</v>
      </c>
      <c r="B3" s="34">
        <v>-0.021363636363636362</v>
      </c>
      <c r="C3" s="34">
        <v>-0.0019784172661870825</v>
      </c>
      <c r="E3" s="45" t="s">
        <v>20</v>
      </c>
      <c r="F3" s="47">
        <f t="shared" ref="F3:G3" si="2">AVEDEV(B2:B52)*51/50</f>
        <v>0.037265264</v>
      </c>
      <c r="G3" s="47">
        <f t="shared" si="2"/>
        <v>0.02896458518</v>
      </c>
    </row>
    <row r="4">
      <c r="A4" s="32">
        <v>46034.0</v>
      </c>
      <c r="B4" s="34">
        <v>-0.016320143080706395</v>
      </c>
      <c r="C4" s="34">
        <v>-0.04038660683465645</v>
      </c>
      <c r="E4" s="45" t="s">
        <v>21</v>
      </c>
      <c r="F4" s="47">
        <f t="shared" ref="F4:G4" si="3">_xlfn.VAR.S(B2:B52)</f>
        <v>0.002065500713</v>
      </c>
      <c r="G4" s="47">
        <f t="shared" si="3"/>
        <v>0.00177218022</v>
      </c>
    </row>
    <row r="5">
      <c r="A5" s="32">
        <v>46027.0</v>
      </c>
      <c r="B5" s="34">
        <v>-0.016815034619188984</v>
      </c>
      <c r="C5" s="34">
        <v>0.03603039785426909</v>
      </c>
      <c r="E5" s="45" t="s">
        <v>22</v>
      </c>
      <c r="F5" s="48">
        <f t="shared" ref="F5:G5" si="4">_xlfn.STDEV.S(B2:B52)</f>
        <v>0.04544778006</v>
      </c>
      <c r="G5" s="49">
        <f t="shared" si="4"/>
        <v>0.04209727094</v>
      </c>
      <c r="H5" s="13" t="s">
        <v>26</v>
      </c>
    </row>
    <row r="6">
      <c r="A6" s="32">
        <v>46020.0</v>
      </c>
      <c r="B6" s="34">
        <v>-0.03683709114004452</v>
      </c>
      <c r="C6" s="34">
        <v>-0.015058119056005737</v>
      </c>
    </row>
    <row r="7">
      <c r="A7" s="32">
        <v>46013.0</v>
      </c>
      <c r="B7" s="34">
        <v>8.475474096831803E-4</v>
      </c>
      <c r="C7" s="34">
        <v>0.02778531993845612</v>
      </c>
      <c r="E7" s="13" t="s">
        <v>27</v>
      </c>
    </row>
    <row r="8">
      <c r="A8" s="32">
        <v>46006.0</v>
      </c>
      <c r="B8" s="34">
        <v>-0.008404244143292328</v>
      </c>
      <c r="C8" s="34">
        <v>-0.0032476319350474014</v>
      </c>
      <c r="E8" s="13" t="s">
        <v>28</v>
      </c>
    </row>
    <row r="9">
      <c r="A9" s="32">
        <v>45999.0</v>
      </c>
      <c r="B9" s="34">
        <v>-0.05037909018355946</v>
      </c>
      <c r="C9" s="34">
        <v>0.05985275838990334</v>
      </c>
      <c r="E9" s="13" t="s">
        <v>29</v>
      </c>
    </row>
    <row r="10">
      <c r="A10" s="32">
        <v>45992.0</v>
      </c>
      <c r="B10" s="34">
        <v>-0.06822829522216034</v>
      </c>
      <c r="C10" s="34">
        <v>0.007902091163149327</v>
      </c>
    </row>
    <row r="11">
      <c r="A11" s="32">
        <v>45985.0</v>
      </c>
      <c r="B11" s="34">
        <v>0.0313488639631867</v>
      </c>
      <c r="C11" s="34">
        <v>0.0018343309519210926</v>
      </c>
    </row>
    <row r="12">
      <c r="A12" s="32">
        <v>45978.0</v>
      </c>
      <c r="B12" s="34">
        <v>-0.06212911346880057</v>
      </c>
      <c r="C12" s="34">
        <v>-0.014368636406889346</v>
      </c>
    </row>
    <row r="13">
      <c r="A13" s="32">
        <v>45971.0</v>
      </c>
      <c r="B13" s="34">
        <v>0.007701368125396346</v>
      </c>
      <c r="C13" s="34">
        <v>-0.044636363636363585</v>
      </c>
    </row>
    <row r="14">
      <c r="A14" s="32">
        <v>45964.0</v>
      </c>
      <c r="B14" s="34">
        <v>-0.013584770756993492</v>
      </c>
      <c r="C14" s="34">
        <v>-0.016627927766851403</v>
      </c>
    </row>
    <row r="15">
      <c r="A15" s="32">
        <v>45957.0</v>
      </c>
      <c r="B15" s="34">
        <v>0.022106513199963373</v>
      </c>
      <c r="C15" s="34">
        <v>0.008383665374560367</v>
      </c>
    </row>
    <row r="16">
      <c r="A16" s="32">
        <v>45950.0</v>
      </c>
      <c r="B16" s="34">
        <v>-0.08729364682341167</v>
      </c>
      <c r="C16" s="34">
        <v>0.009096697898662853</v>
      </c>
    </row>
    <row r="17">
      <c r="A17" s="32">
        <v>45943.0</v>
      </c>
      <c r="B17" s="34">
        <v>-0.016965822473567815</v>
      </c>
      <c r="C17" s="34">
        <v>0.013553383735939617</v>
      </c>
    </row>
    <row r="18">
      <c r="A18" s="32">
        <v>45936.0</v>
      </c>
      <c r="B18" s="34">
        <v>0.05792074915459988</v>
      </c>
      <c r="C18" s="34">
        <v>-0.02909318771819891</v>
      </c>
    </row>
    <row r="19">
      <c r="A19" s="32">
        <v>45929.0</v>
      </c>
      <c r="B19" s="34">
        <v>-0.0473319015364283</v>
      </c>
      <c r="C19" s="34">
        <v>-0.00887232721142761</v>
      </c>
    </row>
    <row r="20">
      <c r="A20" s="32">
        <v>45922.0</v>
      </c>
      <c r="B20" s="34">
        <v>-0.013365933170334188</v>
      </c>
      <c r="C20" s="34">
        <v>-0.0025663716814159354</v>
      </c>
    </row>
    <row r="21">
      <c r="A21" s="32">
        <v>45915.0</v>
      </c>
      <c r="B21" s="34">
        <v>0.03248064624705482</v>
      </c>
      <c r="C21" s="34">
        <v>-0.01892689703073458</v>
      </c>
    </row>
    <row r="22">
      <c r="A22" s="32">
        <v>45908.0</v>
      </c>
      <c r="B22" s="34">
        <v>-0.04454092297797063</v>
      </c>
      <c r="C22" s="34">
        <v>-0.01656420765027322</v>
      </c>
    </row>
    <row r="23">
      <c r="A23" s="32">
        <v>45901.0</v>
      </c>
      <c r="B23" s="34">
        <v>0.029465320311206744</v>
      </c>
      <c r="C23" s="34">
        <v>-0.003912229971083425</v>
      </c>
    </row>
    <row r="24">
      <c r="A24" s="32">
        <v>45894.0</v>
      </c>
      <c r="B24" s="34">
        <v>0.002988543914992592</v>
      </c>
      <c r="C24" s="34">
        <v>-0.004065729290191444</v>
      </c>
    </row>
    <row r="25">
      <c r="A25" s="32">
        <v>45887.0</v>
      </c>
      <c r="B25" s="34">
        <v>-0.027685850351118035</v>
      </c>
      <c r="C25" s="34">
        <v>0.030102085332867956</v>
      </c>
    </row>
    <row r="26">
      <c r="A26" s="32">
        <v>45880.0</v>
      </c>
      <c r="B26" s="34">
        <v>0.022532188841201783</v>
      </c>
      <c r="C26" s="34">
        <v>0.02632757231127436</v>
      </c>
    </row>
    <row r="27">
      <c r="A27" s="32">
        <v>45873.0</v>
      </c>
      <c r="B27" s="34">
        <v>0.045744864491627846</v>
      </c>
      <c r="C27" s="34">
        <v>-0.03574820827216996</v>
      </c>
    </row>
    <row r="28">
      <c r="A28" s="32">
        <v>45866.0</v>
      </c>
      <c r="B28" s="34">
        <v>-0.0185514612452351</v>
      </c>
      <c r="C28" s="34">
        <v>-0.04011603812681308</v>
      </c>
    </row>
    <row r="29">
      <c r="A29" s="32">
        <v>45859.0</v>
      </c>
      <c r="B29" s="34">
        <v>-0.023734700628514793</v>
      </c>
      <c r="C29" s="34">
        <v>4.145936981758691E-4</v>
      </c>
    </row>
    <row r="30">
      <c r="A30" s="32">
        <v>45852.0</v>
      </c>
      <c r="B30" s="34">
        <v>-0.028833025459802486</v>
      </c>
      <c r="C30" s="34">
        <v>0.012934654795901057</v>
      </c>
    </row>
    <row r="31">
      <c r="A31" s="32">
        <v>45845.0</v>
      </c>
      <c r="B31" s="34">
        <v>-0.04016342892383595</v>
      </c>
      <c r="C31" s="34">
        <v>-0.03336851506048555</v>
      </c>
    </row>
    <row r="32">
      <c r="A32" s="32">
        <v>45838.0</v>
      </c>
      <c r="B32" s="34">
        <v>-0.019575239966744817</v>
      </c>
      <c r="C32" s="34">
        <v>0.01793388429752074</v>
      </c>
    </row>
    <row r="33">
      <c r="A33" s="32">
        <v>45831.0</v>
      </c>
      <c r="B33" s="34">
        <v>0.07446808510638303</v>
      </c>
      <c r="C33" s="34">
        <v>0.04005501117414467</v>
      </c>
    </row>
    <row r="34">
      <c r="A34" s="32">
        <v>45824.0</v>
      </c>
      <c r="B34" s="34">
        <v>0.015922778648626457</v>
      </c>
      <c r="C34" s="34">
        <v>-0.0026575225032147154</v>
      </c>
    </row>
    <row r="35">
      <c r="A35" s="32">
        <v>45817.0</v>
      </c>
      <c r="B35" s="34">
        <v>-0.023681031010874043</v>
      </c>
      <c r="C35" s="34">
        <v>0.03550821127385717</v>
      </c>
    </row>
    <row r="36">
      <c r="A36" s="32">
        <v>45810.0</v>
      </c>
      <c r="B36" s="34">
        <v>0.028412856196156522</v>
      </c>
      <c r="C36" s="34">
        <v>0.007602862254025178</v>
      </c>
    </row>
    <row r="37">
      <c r="A37" s="42">
        <v>45803.0</v>
      </c>
      <c r="B37" s="34">
        <v>0.018390416736966397</v>
      </c>
      <c r="C37" s="34">
        <v>0.030224843346848607</v>
      </c>
    </row>
    <row r="38">
      <c r="A38" s="42">
        <v>45796.0</v>
      </c>
      <c r="B38" s="34">
        <v>-0.005119597146454047</v>
      </c>
      <c r="C38" s="34">
        <v>-0.03262613656623292</v>
      </c>
    </row>
    <row r="39">
      <c r="A39" s="42">
        <v>45789.0</v>
      </c>
      <c r="B39" s="34">
        <v>0.04499210664795661</v>
      </c>
      <c r="C39" s="34">
        <v>0.07062416491696899</v>
      </c>
    </row>
    <row r="40">
      <c r="A40" s="42">
        <v>45782.0</v>
      </c>
      <c r="B40" s="34">
        <v>-0.014094249891915323</v>
      </c>
      <c r="C40" s="34">
        <v>0.14538696982947097</v>
      </c>
    </row>
    <row r="41">
      <c r="A41" s="32">
        <v>45775.0</v>
      </c>
      <c r="B41" s="34">
        <v>0.049931911030413056</v>
      </c>
      <c r="C41" s="34">
        <v>0.02452682271250972</v>
      </c>
    </row>
    <row r="42">
      <c r="A42" s="32">
        <v>45768.0</v>
      </c>
      <c r="B42" s="34">
        <v>0.13206577595066804</v>
      </c>
      <c r="C42" s="34">
        <v>0.06449690033381028</v>
      </c>
    </row>
    <row r="43">
      <c r="A43" s="32">
        <v>45761.0</v>
      </c>
      <c r="B43" s="34">
        <v>0.05956659043885448</v>
      </c>
      <c r="C43" s="34">
        <v>-9.52834683182413E-4</v>
      </c>
    </row>
    <row r="44">
      <c r="A44" s="32">
        <v>45754.0</v>
      </c>
      <c r="B44" s="34">
        <v>0.0729057132842621</v>
      </c>
      <c r="C44" s="34">
        <v>0.016218833212297223</v>
      </c>
    </row>
    <row r="45">
      <c r="A45" s="32">
        <v>45747.0</v>
      </c>
      <c r="B45" s="34">
        <v>-0.08352071956312235</v>
      </c>
      <c r="C45" s="34">
        <v>-0.14824742268041236</v>
      </c>
    </row>
    <row r="46">
      <c r="A46" s="32">
        <v>45740.0</v>
      </c>
      <c r="B46" s="34">
        <v>-0.027491408934707917</v>
      </c>
      <c r="C46" s="34">
        <v>-0.013927010267357987</v>
      </c>
    </row>
    <row r="47">
      <c r="A47" s="32">
        <v>45733.0</v>
      </c>
      <c r="B47" s="34">
        <v>0.04607843137254908</v>
      </c>
      <c r="C47" s="34">
        <v>0.008302583025830312</v>
      </c>
    </row>
    <row r="48">
      <c r="A48" s="32">
        <v>45726.0</v>
      </c>
      <c r="B48" s="34">
        <v>0.030187408820558925</v>
      </c>
      <c r="C48" s="34">
        <v>-0.06515906477577615</v>
      </c>
    </row>
    <row r="49">
      <c r="A49" s="32">
        <v>45719.0</v>
      </c>
      <c r="B49" s="34">
        <v>-0.09127065062206818</v>
      </c>
      <c r="C49" s="34">
        <v>-0.07285003553660274</v>
      </c>
    </row>
    <row r="50">
      <c r="A50" s="32">
        <v>45712.0</v>
      </c>
      <c r="B50" s="34">
        <v>-0.022527910685805286</v>
      </c>
      <c r="C50" s="34">
        <v>0.04736205452684472</v>
      </c>
    </row>
    <row r="51">
      <c r="A51" s="32">
        <v>45705.0</v>
      </c>
      <c r="B51" s="34">
        <v>-0.05233327035707547</v>
      </c>
      <c r="C51" s="34">
        <v>-0.015572043601722152</v>
      </c>
    </row>
    <row r="52">
      <c r="A52" s="32">
        <v>45698.0</v>
      </c>
      <c r="B52" s="34">
        <v>0.04408718808560996</v>
      </c>
      <c r="C52" s="34">
        <v>-0.004377564979480164</v>
      </c>
    </row>
    <row r="53">
      <c r="A53" s="32"/>
      <c r="B53" s="28"/>
      <c r="C53" s="23"/>
    </row>
    <row r="54">
      <c r="A54" s="32"/>
      <c r="B54" s="23"/>
      <c r="C54" s="23"/>
    </row>
    <row r="55">
      <c r="A55" s="30"/>
      <c r="B55" s="23"/>
      <c r="C55" s="23"/>
    </row>
    <row r="56">
      <c r="A56" s="30"/>
      <c r="B56" s="23"/>
      <c r="C56" s="23"/>
    </row>
    <row r="57">
      <c r="A57" s="30"/>
      <c r="B57" s="23"/>
      <c r="C57" s="23"/>
    </row>
    <row r="58">
      <c r="A58" s="30"/>
      <c r="B58" s="23"/>
      <c r="C58" s="23"/>
    </row>
    <row r="59">
      <c r="A59" s="30"/>
      <c r="B59" s="23"/>
      <c r="C59" s="23"/>
    </row>
    <row r="60">
      <c r="A60" s="30"/>
      <c r="B60" s="23"/>
      <c r="C60" s="23"/>
    </row>
    <row r="61">
      <c r="A61" s="30"/>
      <c r="B61" s="23"/>
      <c r="C61" s="23"/>
    </row>
    <row r="62">
      <c r="A62" s="30"/>
      <c r="B62" s="23"/>
      <c r="C62" s="23"/>
    </row>
    <row r="63">
      <c r="A63" s="30"/>
      <c r="B63" s="23"/>
      <c r="C63" s="23"/>
    </row>
    <row r="64">
      <c r="A64" s="30"/>
      <c r="B64" s="23"/>
      <c r="C64" s="23"/>
    </row>
    <row r="65">
      <c r="A65" s="30"/>
      <c r="B65" s="23"/>
      <c r="C65" s="23"/>
    </row>
    <row r="66">
      <c r="A66" s="30"/>
      <c r="B66" s="23"/>
      <c r="C66" s="23"/>
    </row>
    <row r="67">
      <c r="A67" s="30"/>
      <c r="B67" s="23"/>
      <c r="C67" s="23"/>
    </row>
    <row r="68">
      <c r="A68" s="30"/>
      <c r="B68" s="23"/>
      <c r="C68" s="23"/>
    </row>
    <row r="69">
      <c r="A69" s="30"/>
      <c r="B69" s="23"/>
      <c r="C69" s="23"/>
    </row>
    <row r="70">
      <c r="A70" s="30"/>
      <c r="B70" s="23"/>
      <c r="C70" s="23"/>
    </row>
    <row r="71">
      <c r="A71" s="30"/>
      <c r="B71" s="23"/>
      <c r="C71" s="23"/>
    </row>
    <row r="72">
      <c r="A72" s="30"/>
      <c r="B72" s="23"/>
      <c r="C72" s="23"/>
    </row>
    <row r="73">
      <c r="A73" s="30"/>
      <c r="B73" s="23"/>
      <c r="C73" s="23"/>
    </row>
    <row r="74">
      <c r="A74" s="30"/>
      <c r="B74" s="23"/>
      <c r="C74" s="23"/>
    </row>
    <row r="75">
      <c r="A75" s="30"/>
      <c r="B75" s="23"/>
      <c r="C75" s="23"/>
    </row>
    <row r="76">
      <c r="A76" s="30"/>
      <c r="B76" s="23"/>
      <c r="C76" s="23"/>
    </row>
    <row r="77">
      <c r="A77" s="30"/>
      <c r="B77" s="23"/>
      <c r="C77" s="23"/>
    </row>
    <row r="78">
      <c r="A78" s="30"/>
      <c r="B78" s="23"/>
      <c r="C78" s="23"/>
    </row>
    <row r="79">
      <c r="A79" s="30"/>
      <c r="B79" s="23"/>
      <c r="C79" s="23"/>
    </row>
    <row r="80">
      <c r="A80" s="30"/>
      <c r="B80" s="23"/>
      <c r="C80" s="23"/>
    </row>
    <row r="81">
      <c r="A81" s="30"/>
      <c r="B81" s="23"/>
      <c r="C81" s="23"/>
    </row>
    <row r="82">
      <c r="A82" s="30"/>
      <c r="B82" s="23"/>
      <c r="C82" s="23"/>
    </row>
    <row r="83">
      <c r="A83" s="30"/>
      <c r="B83" s="23"/>
      <c r="C83" s="23"/>
    </row>
    <row r="84">
      <c r="A84" s="30"/>
      <c r="B84" s="23"/>
      <c r="C84" s="23"/>
    </row>
    <row r="85">
      <c r="A85" s="30"/>
      <c r="B85" s="23"/>
      <c r="C85" s="23"/>
    </row>
    <row r="86">
      <c r="A86" s="30"/>
      <c r="B86" s="23"/>
      <c r="C86" s="23"/>
    </row>
    <row r="87">
      <c r="A87" s="30"/>
      <c r="B87" s="23"/>
      <c r="C87" s="23"/>
    </row>
    <row r="88">
      <c r="A88" s="30"/>
      <c r="B88" s="23"/>
      <c r="C88" s="23"/>
    </row>
    <row r="89">
      <c r="A89" s="30"/>
      <c r="B89" s="23"/>
      <c r="C89" s="23"/>
    </row>
    <row r="90">
      <c r="A90" s="30"/>
      <c r="B90" s="23"/>
      <c r="C90" s="23"/>
    </row>
    <row r="91">
      <c r="A91" s="30"/>
      <c r="B91" s="23"/>
      <c r="C91" s="23"/>
    </row>
    <row r="92">
      <c r="A92" s="30"/>
      <c r="B92" s="23"/>
      <c r="C92" s="23"/>
    </row>
    <row r="93">
      <c r="A93" s="30"/>
      <c r="B93" s="23"/>
      <c r="C93" s="23"/>
    </row>
    <row r="94">
      <c r="A94" s="30"/>
      <c r="B94" s="23"/>
      <c r="C94" s="23"/>
    </row>
    <row r="95">
      <c r="A95" s="30"/>
      <c r="B95" s="23"/>
      <c r="C95" s="23"/>
    </row>
    <row r="96">
      <c r="A96" s="30"/>
      <c r="B96" s="23"/>
      <c r="C96" s="23"/>
    </row>
    <row r="97">
      <c r="A97" s="30"/>
      <c r="B97" s="23"/>
      <c r="C97" s="23"/>
    </row>
    <row r="98">
      <c r="A98" s="30"/>
      <c r="B98" s="23"/>
      <c r="C98" s="23"/>
    </row>
    <row r="99">
      <c r="A99" s="30"/>
      <c r="B99" s="23"/>
      <c r="C99" s="23"/>
    </row>
    <row r="100">
      <c r="A100" s="30"/>
      <c r="B100" s="23"/>
      <c r="C100" s="23"/>
    </row>
    <row r="101">
      <c r="A101" s="30"/>
      <c r="B101" s="23"/>
      <c r="C101" s="23"/>
    </row>
    <row r="102">
      <c r="A102" s="30"/>
      <c r="B102" s="23"/>
      <c r="C102" s="23"/>
    </row>
    <row r="103">
      <c r="A103" s="30"/>
      <c r="B103" s="23"/>
      <c r="C103" s="23"/>
    </row>
    <row r="104">
      <c r="A104" s="30"/>
      <c r="B104" s="23"/>
      <c r="C104" s="23"/>
    </row>
    <row r="105">
      <c r="A105" s="30"/>
      <c r="B105" s="23"/>
      <c r="C105" s="23"/>
    </row>
    <row r="106">
      <c r="A106" s="30"/>
      <c r="B106" s="23"/>
      <c r="C106" s="23"/>
    </row>
    <row r="107">
      <c r="A107" s="30"/>
      <c r="B107" s="23"/>
      <c r="C107" s="23"/>
    </row>
    <row r="108">
      <c r="A108" s="30"/>
      <c r="B108" s="23"/>
      <c r="C108" s="23"/>
    </row>
    <row r="109">
      <c r="A109" s="30"/>
      <c r="B109" s="23"/>
      <c r="C109" s="23"/>
    </row>
    <row r="110">
      <c r="A110" s="30"/>
      <c r="B110" s="23"/>
      <c r="C110" s="23"/>
    </row>
    <row r="111">
      <c r="A111" s="30"/>
      <c r="B111" s="23"/>
      <c r="C111" s="23"/>
    </row>
    <row r="112">
      <c r="A112" s="30"/>
      <c r="B112" s="23"/>
      <c r="C112" s="23"/>
    </row>
    <row r="113">
      <c r="A113" s="30"/>
      <c r="B113" s="23"/>
      <c r="C113" s="23"/>
    </row>
    <row r="114">
      <c r="A114" s="30"/>
      <c r="B114" s="23"/>
      <c r="C114" s="23"/>
    </row>
    <row r="115">
      <c r="A115" s="30"/>
      <c r="B115" s="23"/>
      <c r="C115" s="23"/>
    </row>
    <row r="116">
      <c r="A116" s="30"/>
      <c r="B116" s="23"/>
      <c r="C116" s="23"/>
    </row>
    <row r="117">
      <c r="A117" s="30"/>
      <c r="B117" s="23"/>
      <c r="C117" s="23"/>
    </row>
    <row r="118">
      <c r="A118" s="30"/>
      <c r="B118" s="23"/>
      <c r="C118" s="23"/>
    </row>
    <row r="119">
      <c r="A119" s="30"/>
      <c r="B119" s="23"/>
      <c r="C119" s="23"/>
    </row>
    <row r="120">
      <c r="A120" s="30"/>
      <c r="B120" s="23"/>
      <c r="C120" s="23"/>
    </row>
    <row r="121">
      <c r="A121" s="30"/>
      <c r="B121" s="23"/>
      <c r="C121" s="23"/>
    </row>
    <row r="122">
      <c r="A122" s="30"/>
      <c r="B122" s="23"/>
      <c r="C122" s="23"/>
    </row>
    <row r="123">
      <c r="A123" s="30"/>
      <c r="B123" s="23"/>
      <c r="C123" s="23"/>
    </row>
    <row r="124">
      <c r="A124" s="30"/>
      <c r="B124" s="23"/>
      <c r="C124" s="23"/>
    </row>
    <row r="125">
      <c r="A125" s="30"/>
      <c r="B125" s="23"/>
      <c r="C125" s="23"/>
    </row>
    <row r="126">
      <c r="A126" s="30"/>
      <c r="B126" s="23"/>
      <c r="C126" s="23"/>
    </row>
    <row r="127">
      <c r="A127" s="30"/>
      <c r="B127" s="23"/>
      <c r="C127" s="23"/>
    </row>
    <row r="128">
      <c r="A128" s="30"/>
      <c r="B128" s="23"/>
      <c r="C128" s="23"/>
    </row>
    <row r="129">
      <c r="A129" s="30"/>
      <c r="B129" s="23"/>
      <c r="C129" s="23"/>
    </row>
    <row r="130">
      <c r="A130" s="30"/>
      <c r="B130" s="23"/>
      <c r="C130" s="23"/>
    </row>
    <row r="131">
      <c r="A131" s="30"/>
      <c r="B131" s="23"/>
      <c r="C131" s="23"/>
    </row>
    <row r="132">
      <c r="A132" s="30"/>
      <c r="B132" s="23"/>
      <c r="C132" s="23"/>
    </row>
    <row r="133">
      <c r="A133" s="30"/>
      <c r="B133" s="23"/>
      <c r="C133" s="23"/>
    </row>
    <row r="134">
      <c r="A134" s="30"/>
      <c r="B134" s="23"/>
      <c r="C134" s="23"/>
    </row>
    <row r="135">
      <c r="A135" s="30"/>
      <c r="B135" s="23"/>
      <c r="C135" s="23"/>
    </row>
    <row r="136">
      <c r="A136" s="30"/>
      <c r="B136" s="23"/>
      <c r="C136" s="23"/>
    </row>
    <row r="137">
      <c r="A137" s="30"/>
      <c r="B137" s="23"/>
      <c r="C137" s="23"/>
    </row>
    <row r="138">
      <c r="A138" s="30"/>
      <c r="B138" s="23"/>
      <c r="C138" s="23"/>
    </row>
    <row r="139">
      <c r="A139" s="30"/>
      <c r="B139" s="23"/>
      <c r="C139" s="23"/>
    </row>
    <row r="140">
      <c r="A140" s="30"/>
      <c r="B140" s="23"/>
      <c r="C140" s="23"/>
    </row>
    <row r="141">
      <c r="A141" s="30"/>
      <c r="B141" s="23"/>
      <c r="C141" s="23"/>
    </row>
    <row r="142">
      <c r="A142" s="30"/>
      <c r="B142" s="23"/>
      <c r="C142" s="23"/>
    </row>
    <row r="143">
      <c r="A143" s="30"/>
      <c r="B143" s="23"/>
      <c r="C143" s="23"/>
    </row>
    <row r="144">
      <c r="A144" s="30"/>
      <c r="B144" s="23"/>
      <c r="C144" s="23"/>
    </row>
    <row r="145">
      <c r="A145" s="30"/>
      <c r="B145" s="23"/>
      <c r="C145" s="23"/>
    </row>
    <row r="146">
      <c r="A146" s="30"/>
      <c r="B146" s="23"/>
      <c r="C146" s="23"/>
    </row>
    <row r="147">
      <c r="A147" s="30"/>
      <c r="B147" s="23"/>
      <c r="C147" s="23"/>
    </row>
    <row r="148">
      <c r="A148" s="30"/>
      <c r="B148" s="23"/>
      <c r="C148" s="23"/>
    </row>
    <row r="149">
      <c r="A149" s="30"/>
      <c r="B149" s="23"/>
      <c r="C149" s="23"/>
    </row>
    <row r="150">
      <c r="A150" s="30"/>
      <c r="B150" s="23"/>
      <c r="C150" s="23"/>
    </row>
    <row r="151">
      <c r="A151" s="30"/>
      <c r="B151" s="23"/>
      <c r="C151" s="23"/>
    </row>
    <row r="152">
      <c r="A152" s="30"/>
      <c r="B152" s="23"/>
      <c r="C152" s="23"/>
    </row>
    <row r="153">
      <c r="A153" s="30"/>
      <c r="B153" s="23"/>
      <c r="C153" s="23"/>
    </row>
    <row r="154">
      <c r="A154" s="30"/>
      <c r="B154" s="23"/>
      <c r="C154" s="23"/>
    </row>
    <row r="155">
      <c r="A155" s="30"/>
      <c r="B155" s="23"/>
      <c r="C155" s="23"/>
    </row>
    <row r="156">
      <c r="A156" s="30"/>
      <c r="B156" s="23"/>
      <c r="C156" s="23"/>
    </row>
    <row r="157">
      <c r="A157" s="30"/>
      <c r="B157" s="23"/>
      <c r="C157" s="23"/>
    </row>
    <row r="158">
      <c r="A158" s="30"/>
      <c r="B158" s="23"/>
      <c r="C158" s="23"/>
    </row>
    <row r="159">
      <c r="A159" s="30"/>
      <c r="B159" s="23"/>
      <c r="C159" s="23"/>
    </row>
    <row r="160">
      <c r="A160" s="30"/>
      <c r="B160" s="23"/>
      <c r="C160" s="23"/>
    </row>
    <row r="161">
      <c r="A161" s="30"/>
      <c r="B161" s="23"/>
      <c r="C161" s="23"/>
    </row>
    <row r="162">
      <c r="A162" s="30"/>
      <c r="B162" s="23"/>
      <c r="C162" s="23"/>
    </row>
    <row r="163">
      <c r="A163" s="30"/>
      <c r="B163" s="23"/>
      <c r="C163" s="23"/>
    </row>
    <row r="164">
      <c r="A164" s="30"/>
      <c r="B164" s="23"/>
      <c r="C164" s="23"/>
    </row>
    <row r="165">
      <c r="A165" s="30"/>
      <c r="B165" s="23"/>
      <c r="C165" s="23"/>
    </row>
    <row r="166">
      <c r="A166" s="30"/>
      <c r="B166" s="23"/>
      <c r="C166" s="23"/>
    </row>
    <row r="167">
      <c r="A167" s="30"/>
      <c r="B167" s="23"/>
      <c r="C167" s="23"/>
    </row>
    <row r="168">
      <c r="A168" s="30"/>
      <c r="B168" s="23"/>
      <c r="C168" s="23"/>
    </row>
    <row r="169">
      <c r="A169" s="30"/>
      <c r="B169" s="23"/>
      <c r="C169" s="23"/>
    </row>
    <row r="170">
      <c r="A170" s="30"/>
      <c r="B170" s="23"/>
      <c r="C170" s="23"/>
    </row>
    <row r="171">
      <c r="A171" s="30"/>
      <c r="B171" s="23"/>
      <c r="C171" s="23"/>
    </row>
    <row r="172">
      <c r="A172" s="30"/>
      <c r="B172" s="23"/>
      <c r="C172" s="23"/>
    </row>
    <row r="173">
      <c r="A173" s="30"/>
      <c r="B173" s="23"/>
      <c r="C173" s="23"/>
    </row>
    <row r="174">
      <c r="A174" s="30"/>
      <c r="B174" s="23"/>
      <c r="C174" s="23"/>
    </row>
    <row r="175">
      <c r="A175" s="30"/>
      <c r="B175" s="23"/>
      <c r="C175" s="23"/>
    </row>
    <row r="176">
      <c r="A176" s="30"/>
      <c r="B176" s="23"/>
      <c r="C176" s="23"/>
    </row>
    <row r="177">
      <c r="A177" s="30"/>
      <c r="B177" s="23"/>
      <c r="C177" s="23"/>
    </row>
    <row r="178">
      <c r="A178" s="30"/>
      <c r="B178" s="23"/>
      <c r="C178" s="23"/>
    </row>
    <row r="179">
      <c r="A179" s="30"/>
      <c r="B179" s="23"/>
      <c r="C179" s="23"/>
    </row>
    <row r="180">
      <c r="A180" s="30"/>
      <c r="B180" s="23"/>
      <c r="C180" s="23"/>
    </row>
    <row r="181">
      <c r="A181" s="30"/>
      <c r="B181" s="23"/>
      <c r="C181" s="23"/>
    </row>
    <row r="182">
      <c r="A182" s="30"/>
      <c r="B182" s="23"/>
      <c r="C182" s="23"/>
    </row>
    <row r="183">
      <c r="A183" s="30"/>
      <c r="B183" s="23"/>
      <c r="C183" s="23"/>
    </row>
    <row r="184">
      <c r="A184" s="30"/>
      <c r="B184" s="23"/>
      <c r="C184" s="23"/>
    </row>
    <row r="185">
      <c r="A185" s="30"/>
      <c r="B185" s="23"/>
      <c r="C185" s="23"/>
    </row>
    <row r="186">
      <c r="A186" s="30"/>
      <c r="B186" s="23"/>
      <c r="C186" s="23"/>
    </row>
    <row r="187">
      <c r="A187" s="30"/>
      <c r="B187" s="23"/>
      <c r="C187" s="23"/>
    </row>
    <row r="188">
      <c r="A188" s="30"/>
      <c r="B188" s="23"/>
      <c r="C188" s="23"/>
    </row>
    <row r="189">
      <c r="A189" s="30"/>
      <c r="B189" s="23"/>
      <c r="C189" s="23"/>
    </row>
    <row r="190">
      <c r="A190" s="30"/>
      <c r="B190" s="23"/>
      <c r="C190" s="23"/>
    </row>
    <row r="191">
      <c r="A191" s="30"/>
      <c r="B191" s="23"/>
      <c r="C191" s="23"/>
    </row>
    <row r="192">
      <c r="A192" s="30"/>
      <c r="B192" s="23"/>
      <c r="C192" s="23"/>
    </row>
    <row r="193">
      <c r="A193" s="30"/>
      <c r="B193" s="23"/>
      <c r="C193" s="23"/>
    </row>
    <row r="194">
      <c r="A194" s="30"/>
      <c r="B194" s="23"/>
      <c r="C194" s="23"/>
    </row>
    <row r="195">
      <c r="A195" s="30"/>
      <c r="B195" s="23"/>
      <c r="C195" s="23"/>
    </row>
    <row r="196">
      <c r="A196" s="30"/>
      <c r="B196" s="23"/>
      <c r="C196" s="23"/>
    </row>
    <row r="197">
      <c r="A197" s="30"/>
      <c r="B197" s="23"/>
      <c r="C197" s="23"/>
    </row>
    <row r="198">
      <c r="A198" s="30"/>
      <c r="B198" s="23"/>
      <c r="C198" s="23"/>
    </row>
    <row r="199">
      <c r="A199" s="30"/>
      <c r="B199" s="23"/>
      <c r="C199" s="23"/>
    </row>
    <row r="200">
      <c r="A200" s="30"/>
      <c r="B200" s="23"/>
      <c r="C200" s="23"/>
    </row>
    <row r="201">
      <c r="A201" s="30"/>
      <c r="B201" s="23"/>
      <c r="C201" s="23"/>
    </row>
    <row r="202">
      <c r="A202" s="30"/>
      <c r="B202" s="23"/>
      <c r="C202" s="23"/>
    </row>
    <row r="203">
      <c r="A203" s="30"/>
      <c r="B203" s="23"/>
      <c r="C203" s="23"/>
    </row>
    <row r="204">
      <c r="A204" s="30"/>
      <c r="B204" s="23"/>
      <c r="C204" s="23"/>
    </row>
    <row r="205">
      <c r="A205" s="30"/>
      <c r="B205" s="23"/>
      <c r="C205" s="23"/>
    </row>
    <row r="206">
      <c r="A206" s="30"/>
      <c r="B206" s="23"/>
      <c r="C206" s="23"/>
    </row>
    <row r="207">
      <c r="A207" s="30"/>
      <c r="B207" s="23"/>
      <c r="C207" s="23"/>
    </row>
    <row r="208">
      <c r="A208" s="30"/>
      <c r="B208" s="23"/>
      <c r="C208" s="23"/>
    </row>
    <row r="209">
      <c r="A209" s="30"/>
      <c r="B209" s="23"/>
      <c r="C209" s="23"/>
    </row>
    <row r="210">
      <c r="A210" s="30"/>
      <c r="B210" s="23"/>
      <c r="C210" s="23"/>
    </row>
    <row r="211">
      <c r="A211" s="30"/>
      <c r="B211" s="23"/>
      <c r="C211" s="23"/>
    </row>
    <row r="212">
      <c r="A212" s="30"/>
      <c r="B212" s="23"/>
      <c r="C212" s="23"/>
    </row>
    <row r="213">
      <c r="A213" s="30"/>
      <c r="B213" s="23"/>
      <c r="C213" s="23"/>
    </row>
    <row r="214">
      <c r="A214" s="30"/>
      <c r="B214" s="23"/>
      <c r="C214" s="23"/>
    </row>
    <row r="215">
      <c r="A215" s="30"/>
      <c r="B215" s="23"/>
      <c r="C215" s="23"/>
    </row>
    <row r="216">
      <c r="A216" s="30"/>
      <c r="B216" s="23"/>
      <c r="C216" s="23"/>
    </row>
    <row r="217">
      <c r="A217" s="30"/>
      <c r="B217" s="23"/>
      <c r="C217" s="23"/>
    </row>
    <row r="218">
      <c r="A218" s="30"/>
      <c r="B218" s="23"/>
      <c r="C218" s="23"/>
    </row>
    <row r="219">
      <c r="A219" s="30"/>
      <c r="B219" s="23"/>
      <c r="C219" s="23"/>
    </row>
    <row r="220">
      <c r="A220" s="30"/>
      <c r="B220" s="23"/>
      <c r="C220" s="23"/>
    </row>
    <row r="221">
      <c r="A221" s="30"/>
      <c r="B221" s="23"/>
      <c r="C221" s="23"/>
    </row>
    <row r="222">
      <c r="A222" s="30"/>
      <c r="B222" s="23"/>
      <c r="C222" s="23"/>
    </row>
    <row r="223">
      <c r="A223" s="30"/>
      <c r="B223" s="23"/>
      <c r="C223" s="23"/>
    </row>
    <row r="224">
      <c r="A224" s="30"/>
      <c r="B224" s="23"/>
      <c r="C224" s="23"/>
    </row>
    <row r="225">
      <c r="A225" s="30"/>
      <c r="B225" s="23"/>
      <c r="C225" s="23"/>
    </row>
    <row r="226">
      <c r="A226" s="30"/>
      <c r="B226" s="23"/>
      <c r="C226" s="23"/>
    </row>
    <row r="227">
      <c r="A227" s="30"/>
      <c r="B227" s="23"/>
      <c r="C227" s="23"/>
    </row>
    <row r="228">
      <c r="A228" s="30"/>
      <c r="B228" s="23"/>
      <c r="C228" s="23"/>
    </row>
    <row r="229">
      <c r="A229" s="30"/>
      <c r="B229" s="23"/>
      <c r="C229" s="23"/>
    </row>
    <row r="230">
      <c r="A230" s="30"/>
      <c r="B230" s="23"/>
      <c r="C230" s="23"/>
    </row>
    <row r="231">
      <c r="A231" s="30"/>
      <c r="B231" s="23"/>
      <c r="C231" s="23"/>
    </row>
    <row r="232">
      <c r="A232" s="30"/>
      <c r="B232" s="23"/>
      <c r="C232" s="23"/>
    </row>
    <row r="233">
      <c r="A233" s="30"/>
      <c r="B233" s="23"/>
      <c r="C233" s="23"/>
    </row>
    <row r="234">
      <c r="A234" s="30"/>
      <c r="B234" s="23"/>
      <c r="C234" s="23"/>
    </row>
    <row r="235">
      <c r="A235" s="30"/>
      <c r="B235" s="23"/>
      <c r="C235" s="23"/>
    </row>
    <row r="236">
      <c r="A236" s="30"/>
      <c r="B236" s="23"/>
      <c r="C236" s="23"/>
    </row>
    <row r="237">
      <c r="A237" s="30"/>
      <c r="B237" s="23"/>
      <c r="C237" s="23"/>
    </row>
    <row r="238">
      <c r="A238" s="30"/>
      <c r="B238" s="23"/>
      <c r="C238" s="23"/>
    </row>
    <row r="239">
      <c r="A239" s="30"/>
      <c r="B239" s="23"/>
      <c r="C239" s="23"/>
    </row>
    <row r="240">
      <c r="A240" s="30"/>
      <c r="B240" s="23"/>
      <c r="C240" s="23"/>
    </row>
    <row r="241">
      <c r="A241" s="30"/>
      <c r="B241" s="23"/>
      <c r="C241" s="23"/>
    </row>
    <row r="242">
      <c r="A242" s="30"/>
      <c r="B242" s="23"/>
      <c r="C242" s="23"/>
    </row>
    <row r="243">
      <c r="A243" s="30"/>
      <c r="B243" s="23"/>
      <c r="C243" s="23"/>
    </row>
    <row r="244">
      <c r="A244" s="30"/>
      <c r="B244" s="23"/>
      <c r="C244" s="23"/>
    </row>
    <row r="245">
      <c r="A245" s="30"/>
      <c r="B245" s="23"/>
      <c r="C245" s="23"/>
    </row>
    <row r="246">
      <c r="A246" s="30"/>
      <c r="B246" s="23"/>
      <c r="C246" s="23"/>
    </row>
    <row r="247">
      <c r="A247" s="30"/>
      <c r="B247" s="23"/>
      <c r="C247" s="23"/>
    </row>
    <row r="248">
      <c r="A248" s="30"/>
      <c r="B248" s="23"/>
      <c r="C248" s="23"/>
    </row>
    <row r="249">
      <c r="A249" s="30"/>
      <c r="B249" s="23"/>
      <c r="C249" s="23"/>
    </row>
    <row r="250">
      <c r="A250" s="30"/>
      <c r="B250" s="23"/>
      <c r="C250" s="23"/>
    </row>
    <row r="251">
      <c r="A251" s="30"/>
      <c r="B251" s="23"/>
      <c r="C251" s="23"/>
    </row>
    <row r="252">
      <c r="A252" s="30"/>
      <c r="B252" s="23"/>
      <c r="C252" s="23"/>
    </row>
    <row r="253">
      <c r="A253" s="30"/>
      <c r="B253" s="23"/>
      <c r="C253" s="23"/>
    </row>
    <row r="254">
      <c r="A254" s="30"/>
      <c r="B254" s="23"/>
      <c r="C254" s="23"/>
    </row>
    <row r="255">
      <c r="A255" s="30"/>
      <c r="B255" s="23"/>
      <c r="C255" s="23"/>
    </row>
    <row r="256">
      <c r="A256" s="30"/>
      <c r="B256" s="23"/>
      <c r="C256" s="23"/>
    </row>
    <row r="257">
      <c r="A257" s="30"/>
      <c r="B257" s="23"/>
      <c r="C257" s="23"/>
    </row>
    <row r="258">
      <c r="A258" s="30"/>
      <c r="B258" s="23"/>
      <c r="C258" s="23"/>
    </row>
    <row r="259">
      <c r="A259" s="30"/>
      <c r="B259" s="23"/>
      <c r="C259" s="23"/>
    </row>
    <row r="260">
      <c r="A260" s="30"/>
      <c r="B260" s="23"/>
      <c r="C260" s="23"/>
    </row>
    <row r="261">
      <c r="A261" s="30"/>
      <c r="B261" s="23"/>
      <c r="C261" s="23"/>
    </row>
    <row r="262">
      <c r="A262" s="30"/>
      <c r="B262" s="23"/>
      <c r="C262" s="23"/>
    </row>
    <row r="263">
      <c r="A263" s="30"/>
      <c r="B263" s="23"/>
      <c r="C263" s="23"/>
    </row>
    <row r="264">
      <c r="A264" s="30"/>
      <c r="B264" s="23"/>
      <c r="C264" s="23"/>
    </row>
    <row r="265">
      <c r="A265" s="30"/>
      <c r="B265" s="23"/>
      <c r="C265" s="23"/>
    </row>
    <row r="266">
      <c r="A266" s="30"/>
      <c r="B266" s="23"/>
      <c r="C266" s="23"/>
    </row>
    <row r="267">
      <c r="A267" s="30"/>
      <c r="B267" s="23"/>
      <c r="C267" s="23"/>
    </row>
    <row r="268">
      <c r="A268" s="30"/>
      <c r="B268" s="23"/>
      <c r="C268" s="23"/>
    </row>
    <row r="269">
      <c r="A269" s="30"/>
      <c r="B269" s="23"/>
      <c r="C269" s="23"/>
    </row>
    <row r="270">
      <c r="A270" s="30"/>
      <c r="B270" s="23"/>
      <c r="C270" s="23"/>
    </row>
    <row r="271">
      <c r="A271" s="30"/>
      <c r="B271" s="23"/>
      <c r="C271" s="23"/>
    </row>
    <row r="272">
      <c r="A272" s="30"/>
      <c r="B272" s="23"/>
      <c r="C272" s="23"/>
    </row>
    <row r="273">
      <c r="A273" s="30"/>
      <c r="B273" s="23"/>
      <c r="C273" s="23"/>
    </row>
    <row r="274">
      <c r="A274" s="30"/>
      <c r="B274" s="23"/>
      <c r="C274" s="23"/>
    </row>
    <row r="275">
      <c r="A275" s="30"/>
      <c r="B275" s="23"/>
      <c r="C275" s="23"/>
    </row>
    <row r="276">
      <c r="A276" s="30"/>
      <c r="B276" s="23"/>
      <c r="C276" s="23"/>
    </row>
    <row r="277">
      <c r="A277" s="30"/>
      <c r="B277" s="23"/>
      <c r="C277" s="23"/>
    </row>
    <row r="278">
      <c r="A278" s="30"/>
      <c r="B278" s="23"/>
      <c r="C278" s="23"/>
    </row>
    <row r="279">
      <c r="A279" s="30"/>
      <c r="B279" s="23"/>
      <c r="C279" s="23"/>
    </row>
    <row r="280">
      <c r="A280" s="30"/>
      <c r="B280" s="23"/>
      <c r="C280" s="23"/>
    </row>
    <row r="281">
      <c r="A281" s="30"/>
      <c r="B281" s="23"/>
      <c r="C281" s="23"/>
    </row>
    <row r="282">
      <c r="A282" s="30"/>
      <c r="B282" s="23"/>
      <c r="C282" s="23"/>
    </row>
    <row r="283">
      <c r="A283" s="30"/>
      <c r="B283" s="23"/>
      <c r="C283" s="23"/>
    </row>
    <row r="284">
      <c r="A284" s="30"/>
      <c r="B284" s="23"/>
      <c r="C284" s="23"/>
    </row>
    <row r="285">
      <c r="A285" s="30"/>
      <c r="B285" s="23"/>
      <c r="C285" s="23"/>
    </row>
    <row r="286">
      <c r="A286" s="30"/>
      <c r="B286" s="23"/>
      <c r="C286" s="23"/>
    </row>
    <row r="287">
      <c r="A287" s="30"/>
      <c r="B287" s="23"/>
      <c r="C287" s="23"/>
    </row>
    <row r="288">
      <c r="A288" s="30"/>
      <c r="B288" s="23"/>
      <c r="C288" s="23"/>
    </row>
    <row r="289">
      <c r="A289" s="30"/>
      <c r="B289" s="23"/>
      <c r="C289" s="23"/>
    </row>
    <row r="290">
      <c r="A290" s="30"/>
      <c r="B290" s="23"/>
      <c r="C290" s="23"/>
    </row>
    <row r="291">
      <c r="A291" s="30"/>
      <c r="B291" s="23"/>
      <c r="C291" s="23"/>
    </row>
    <row r="292">
      <c r="A292" s="30"/>
      <c r="B292" s="23"/>
      <c r="C292" s="23"/>
    </row>
    <row r="293">
      <c r="A293" s="30"/>
      <c r="B293" s="23"/>
      <c r="C293" s="23"/>
    </row>
    <row r="294">
      <c r="A294" s="30"/>
      <c r="B294" s="23"/>
      <c r="C294" s="23"/>
    </row>
    <row r="295">
      <c r="A295" s="30"/>
      <c r="B295" s="23"/>
      <c r="C295" s="23"/>
    </row>
    <row r="296">
      <c r="A296" s="30"/>
      <c r="B296" s="23"/>
      <c r="C296" s="23"/>
    </row>
    <row r="297">
      <c r="A297" s="30"/>
      <c r="B297" s="23"/>
      <c r="C297" s="23"/>
    </row>
    <row r="298">
      <c r="A298" s="30"/>
      <c r="B298" s="23"/>
      <c r="C298" s="23"/>
    </row>
    <row r="299">
      <c r="A299" s="30"/>
      <c r="B299" s="23"/>
      <c r="C299" s="23"/>
    </row>
    <row r="300">
      <c r="A300" s="30"/>
      <c r="B300" s="23"/>
      <c r="C300" s="23"/>
    </row>
    <row r="301">
      <c r="A301" s="30"/>
      <c r="B301" s="23"/>
      <c r="C301" s="23"/>
    </row>
    <row r="302">
      <c r="A302" s="30"/>
      <c r="B302" s="23"/>
      <c r="C302" s="23"/>
    </row>
    <row r="303">
      <c r="A303" s="30"/>
      <c r="B303" s="23"/>
      <c r="C303" s="23"/>
    </row>
    <row r="304">
      <c r="A304" s="30"/>
      <c r="B304" s="23"/>
      <c r="C304" s="23"/>
    </row>
    <row r="305">
      <c r="A305" s="30"/>
      <c r="B305" s="23"/>
      <c r="C305" s="23"/>
    </row>
    <row r="306">
      <c r="A306" s="30"/>
      <c r="B306" s="23"/>
      <c r="C306" s="23"/>
    </row>
    <row r="307">
      <c r="A307" s="30"/>
      <c r="B307" s="23"/>
      <c r="C307" s="23"/>
    </row>
    <row r="308">
      <c r="A308" s="30"/>
      <c r="B308" s="23"/>
      <c r="C308" s="23"/>
    </row>
    <row r="309">
      <c r="A309" s="30"/>
      <c r="B309" s="23"/>
      <c r="C309" s="23"/>
    </row>
    <row r="310">
      <c r="A310" s="30"/>
      <c r="B310" s="23"/>
      <c r="C310" s="23"/>
    </row>
    <row r="311">
      <c r="A311" s="30"/>
      <c r="B311" s="23"/>
      <c r="C311" s="23"/>
    </row>
    <row r="312">
      <c r="A312" s="30"/>
      <c r="B312" s="23"/>
      <c r="C312" s="23"/>
    </row>
    <row r="313">
      <c r="A313" s="30"/>
      <c r="B313" s="23"/>
      <c r="C313" s="23"/>
    </row>
    <row r="314">
      <c r="A314" s="30"/>
      <c r="B314" s="23"/>
      <c r="C314" s="23"/>
    </row>
    <row r="315">
      <c r="A315" s="30"/>
      <c r="B315" s="23"/>
      <c r="C315" s="23"/>
    </row>
    <row r="316">
      <c r="A316" s="30"/>
      <c r="B316" s="23"/>
      <c r="C316" s="23"/>
    </row>
    <row r="317">
      <c r="A317" s="30"/>
      <c r="B317" s="23"/>
      <c r="C317" s="23"/>
    </row>
    <row r="318">
      <c r="A318" s="30"/>
      <c r="B318" s="23"/>
      <c r="C318" s="23"/>
    </row>
    <row r="319">
      <c r="A319" s="30"/>
      <c r="B319" s="23"/>
      <c r="C319" s="23"/>
    </row>
    <row r="320">
      <c r="A320" s="30"/>
      <c r="B320" s="23"/>
      <c r="C320" s="23"/>
    </row>
    <row r="321">
      <c r="A321" s="30"/>
      <c r="B321" s="23"/>
      <c r="C321" s="23"/>
    </row>
    <row r="322">
      <c r="A322" s="30"/>
      <c r="B322" s="23"/>
      <c r="C322" s="23"/>
    </row>
    <row r="323">
      <c r="A323" s="30"/>
      <c r="B323" s="23"/>
      <c r="C323" s="23"/>
    </row>
    <row r="324">
      <c r="A324" s="30"/>
      <c r="B324" s="23"/>
      <c r="C324" s="23"/>
    </row>
    <row r="325">
      <c r="A325" s="30"/>
      <c r="B325" s="23"/>
      <c r="C325" s="23"/>
    </row>
    <row r="326">
      <c r="A326" s="30"/>
      <c r="B326" s="23"/>
      <c r="C326" s="23"/>
    </row>
    <row r="327">
      <c r="A327" s="30"/>
      <c r="B327" s="23"/>
      <c r="C327" s="23"/>
    </row>
    <row r="328">
      <c r="A328" s="30"/>
      <c r="B328" s="23"/>
      <c r="C328" s="23"/>
    </row>
    <row r="329">
      <c r="A329" s="30"/>
      <c r="B329" s="23"/>
      <c r="C329" s="23"/>
    </row>
    <row r="330">
      <c r="A330" s="30"/>
      <c r="B330" s="23"/>
      <c r="C330" s="23"/>
    </row>
    <row r="331">
      <c r="A331" s="30"/>
      <c r="B331" s="23"/>
      <c r="C331" s="23"/>
    </row>
    <row r="332">
      <c r="A332" s="30"/>
      <c r="B332" s="23"/>
      <c r="C332" s="23"/>
    </row>
    <row r="333">
      <c r="A333" s="30"/>
      <c r="B333" s="23"/>
      <c r="C333" s="23"/>
    </row>
    <row r="334">
      <c r="A334" s="30"/>
      <c r="B334" s="23"/>
      <c r="C334" s="23"/>
    </row>
    <row r="335">
      <c r="A335" s="30"/>
      <c r="B335" s="23"/>
      <c r="C335" s="23"/>
    </row>
    <row r="336">
      <c r="A336" s="30"/>
      <c r="B336" s="23"/>
      <c r="C336" s="23"/>
    </row>
    <row r="337">
      <c r="A337" s="30"/>
      <c r="B337" s="23"/>
      <c r="C337" s="23"/>
    </row>
    <row r="338">
      <c r="A338" s="30"/>
      <c r="B338" s="23"/>
      <c r="C338" s="23"/>
    </row>
    <row r="339">
      <c r="A339" s="30"/>
      <c r="B339" s="23"/>
      <c r="C339" s="23"/>
    </row>
    <row r="340">
      <c r="A340" s="30"/>
      <c r="B340" s="23"/>
      <c r="C340" s="23"/>
    </row>
    <row r="341">
      <c r="A341" s="30"/>
      <c r="B341" s="23"/>
      <c r="C341" s="23"/>
    </row>
    <row r="342">
      <c r="A342" s="30"/>
      <c r="B342" s="23"/>
      <c r="C342" s="23"/>
    </row>
    <row r="343">
      <c r="A343" s="30"/>
      <c r="B343" s="23"/>
      <c r="C343" s="23"/>
    </row>
    <row r="344">
      <c r="A344" s="30"/>
      <c r="B344" s="23"/>
      <c r="C344" s="23"/>
    </row>
    <row r="345">
      <c r="A345" s="30"/>
      <c r="B345" s="23"/>
      <c r="C345" s="23"/>
    </row>
    <row r="346">
      <c r="A346" s="30"/>
      <c r="B346" s="23"/>
      <c r="C346" s="23"/>
    </row>
    <row r="347">
      <c r="A347" s="30"/>
      <c r="B347" s="23"/>
      <c r="C347" s="23"/>
    </row>
    <row r="348">
      <c r="A348" s="30"/>
      <c r="B348" s="23"/>
      <c r="C348" s="23"/>
    </row>
    <row r="349">
      <c r="A349" s="30"/>
      <c r="B349" s="23"/>
      <c r="C349" s="23"/>
    </row>
    <row r="350">
      <c r="A350" s="30"/>
      <c r="B350" s="23"/>
      <c r="C350" s="23"/>
    </row>
    <row r="351">
      <c r="A351" s="30"/>
      <c r="B351" s="23"/>
      <c r="C351" s="23"/>
    </row>
    <row r="352">
      <c r="A352" s="30"/>
      <c r="B352" s="23"/>
      <c r="C352" s="23"/>
    </row>
    <row r="353">
      <c r="A353" s="30"/>
      <c r="B353" s="23"/>
      <c r="C353" s="23"/>
    </row>
    <row r="354">
      <c r="A354" s="30"/>
      <c r="B354" s="23"/>
      <c r="C354" s="23"/>
    </row>
    <row r="355">
      <c r="A355" s="30"/>
      <c r="B355" s="23"/>
      <c r="C355" s="23"/>
    </row>
    <row r="356">
      <c r="A356" s="30"/>
      <c r="B356" s="23"/>
      <c r="C356" s="23"/>
    </row>
    <row r="357">
      <c r="A357" s="30"/>
      <c r="B357" s="23"/>
      <c r="C357" s="23"/>
    </row>
    <row r="358">
      <c r="A358" s="30"/>
      <c r="B358" s="23"/>
      <c r="C358" s="23"/>
    </row>
    <row r="359">
      <c r="A359" s="30"/>
      <c r="B359" s="23"/>
      <c r="C359" s="23"/>
    </row>
    <row r="360">
      <c r="A360" s="30"/>
      <c r="B360" s="23"/>
      <c r="C360" s="23"/>
    </row>
    <row r="361">
      <c r="A361" s="30"/>
      <c r="B361" s="23"/>
      <c r="C361" s="23"/>
    </row>
    <row r="362">
      <c r="A362" s="30"/>
      <c r="B362" s="23"/>
      <c r="C362" s="23"/>
    </row>
    <row r="363">
      <c r="A363" s="30"/>
      <c r="B363" s="23"/>
      <c r="C363" s="23"/>
    </row>
    <row r="364">
      <c r="A364" s="30"/>
      <c r="B364" s="23"/>
      <c r="C364" s="23"/>
    </row>
    <row r="365">
      <c r="A365" s="30"/>
      <c r="B365" s="23"/>
      <c r="C365" s="23"/>
    </row>
    <row r="366">
      <c r="A366" s="30"/>
      <c r="B366" s="23"/>
      <c r="C366" s="23"/>
    </row>
    <row r="367">
      <c r="A367" s="30"/>
      <c r="B367" s="23"/>
      <c r="C367" s="23"/>
    </row>
    <row r="368">
      <c r="A368" s="30"/>
      <c r="B368" s="23"/>
      <c r="C368" s="23"/>
    </row>
    <row r="369">
      <c r="A369" s="30"/>
      <c r="B369" s="23"/>
      <c r="C369" s="23"/>
    </row>
    <row r="370">
      <c r="A370" s="30"/>
      <c r="B370" s="23"/>
      <c r="C370" s="23"/>
    </row>
    <row r="371">
      <c r="A371" s="30"/>
      <c r="B371" s="23"/>
      <c r="C371" s="23"/>
    </row>
    <row r="372">
      <c r="A372" s="30"/>
      <c r="B372" s="23"/>
      <c r="C372" s="23"/>
    </row>
    <row r="373">
      <c r="A373" s="30"/>
      <c r="B373" s="23"/>
      <c r="C373" s="23"/>
    </row>
    <row r="374">
      <c r="A374" s="30"/>
      <c r="B374" s="23"/>
      <c r="C374" s="23"/>
    </row>
    <row r="375">
      <c r="A375" s="30"/>
      <c r="B375" s="23"/>
      <c r="C375" s="23"/>
    </row>
    <row r="376">
      <c r="A376" s="30"/>
      <c r="B376" s="23"/>
      <c r="C376" s="23"/>
    </row>
    <row r="377">
      <c r="A377" s="30"/>
      <c r="B377" s="23"/>
      <c r="C377" s="23"/>
    </row>
    <row r="378">
      <c r="A378" s="30"/>
      <c r="B378" s="23"/>
      <c r="C378" s="23"/>
    </row>
    <row r="379">
      <c r="A379" s="30"/>
      <c r="B379" s="23"/>
      <c r="C379" s="23"/>
    </row>
    <row r="380">
      <c r="A380" s="30"/>
      <c r="B380" s="23"/>
      <c r="C380" s="23"/>
    </row>
    <row r="381">
      <c r="A381" s="30"/>
      <c r="B381" s="23"/>
      <c r="C381" s="23"/>
    </row>
    <row r="382">
      <c r="A382" s="30"/>
      <c r="B382" s="23"/>
      <c r="C382" s="23"/>
    </row>
    <row r="383">
      <c r="A383" s="30"/>
      <c r="B383" s="23"/>
      <c r="C383" s="23"/>
    </row>
    <row r="384">
      <c r="A384" s="30"/>
      <c r="B384" s="23"/>
      <c r="C384" s="23"/>
    </row>
    <row r="385">
      <c r="A385" s="30"/>
      <c r="B385" s="23"/>
      <c r="C385" s="23"/>
    </row>
    <row r="386">
      <c r="A386" s="30"/>
      <c r="B386" s="23"/>
      <c r="C386" s="23"/>
    </row>
    <row r="387">
      <c r="A387" s="30"/>
      <c r="B387" s="23"/>
      <c r="C387" s="23"/>
    </row>
    <row r="388">
      <c r="A388" s="30"/>
      <c r="B388" s="23"/>
      <c r="C388" s="23"/>
    </row>
    <row r="389">
      <c r="A389" s="30"/>
      <c r="B389" s="23"/>
      <c r="C389" s="23"/>
    </row>
    <row r="390">
      <c r="A390" s="30"/>
      <c r="B390" s="23"/>
      <c r="C390" s="23"/>
    </row>
    <row r="391">
      <c r="A391" s="30"/>
      <c r="B391" s="23"/>
      <c r="C391" s="23"/>
    </row>
    <row r="392">
      <c r="A392" s="30"/>
      <c r="B392" s="23"/>
      <c r="C392" s="23"/>
    </row>
    <row r="393">
      <c r="A393" s="30"/>
      <c r="B393" s="23"/>
      <c r="C393" s="23"/>
    </row>
    <row r="394">
      <c r="A394" s="30"/>
      <c r="B394" s="23"/>
      <c r="C394" s="23"/>
    </row>
    <row r="395">
      <c r="A395" s="30"/>
      <c r="B395" s="23"/>
      <c r="C395" s="23"/>
    </row>
    <row r="396">
      <c r="A396" s="30"/>
      <c r="B396" s="23"/>
      <c r="C396" s="23"/>
    </row>
    <row r="397">
      <c r="A397" s="30"/>
      <c r="B397" s="23"/>
      <c r="C397" s="23"/>
    </row>
    <row r="398">
      <c r="A398" s="30"/>
      <c r="B398" s="23"/>
      <c r="C398" s="23"/>
    </row>
    <row r="399">
      <c r="A399" s="30"/>
      <c r="B399" s="23"/>
      <c r="C399" s="23"/>
    </row>
    <row r="400">
      <c r="A400" s="30"/>
      <c r="B400" s="23"/>
      <c r="C400" s="23"/>
    </row>
    <row r="401">
      <c r="A401" s="30"/>
      <c r="B401" s="23"/>
      <c r="C401" s="23"/>
    </row>
    <row r="402">
      <c r="A402" s="30"/>
      <c r="B402" s="23"/>
      <c r="C402" s="23"/>
    </row>
    <row r="403">
      <c r="A403" s="30"/>
      <c r="B403" s="23"/>
      <c r="C403" s="23"/>
    </row>
    <row r="404">
      <c r="A404" s="30"/>
      <c r="B404" s="23"/>
      <c r="C404" s="23"/>
    </row>
    <row r="405">
      <c r="A405" s="30"/>
      <c r="B405" s="23"/>
      <c r="C405" s="23"/>
    </row>
    <row r="406">
      <c r="A406" s="30"/>
      <c r="B406" s="23"/>
      <c r="C406" s="23"/>
    </row>
    <row r="407">
      <c r="A407" s="30"/>
      <c r="B407" s="23"/>
      <c r="C407" s="23"/>
    </row>
    <row r="408">
      <c r="A408" s="30"/>
      <c r="B408" s="23"/>
      <c r="C408" s="23"/>
    </row>
    <row r="409">
      <c r="A409" s="30"/>
      <c r="B409" s="23"/>
      <c r="C409" s="23"/>
    </row>
    <row r="410">
      <c r="A410" s="30"/>
      <c r="B410" s="23"/>
      <c r="C410" s="23"/>
    </row>
    <row r="411">
      <c r="A411" s="30"/>
      <c r="B411" s="23"/>
      <c r="C411" s="23"/>
    </row>
    <row r="412">
      <c r="A412" s="30"/>
      <c r="B412" s="23"/>
      <c r="C412" s="23"/>
    </row>
    <row r="413">
      <c r="A413" s="30"/>
      <c r="B413" s="23"/>
      <c r="C413" s="23"/>
    </row>
    <row r="414">
      <c r="A414" s="30"/>
      <c r="B414" s="23"/>
      <c r="C414" s="23"/>
    </row>
    <row r="415">
      <c r="A415" s="30"/>
      <c r="B415" s="23"/>
      <c r="C415" s="23"/>
    </row>
    <row r="416">
      <c r="A416" s="30"/>
      <c r="B416" s="23"/>
      <c r="C416" s="23"/>
    </row>
    <row r="417">
      <c r="A417" s="30"/>
      <c r="B417" s="23"/>
      <c r="C417" s="23"/>
    </row>
    <row r="418">
      <c r="A418" s="30"/>
      <c r="B418" s="23"/>
      <c r="C418" s="23"/>
    </row>
    <row r="419">
      <c r="A419" s="30"/>
      <c r="B419" s="23"/>
      <c r="C419" s="23"/>
    </row>
    <row r="420">
      <c r="A420" s="30"/>
      <c r="B420" s="23"/>
      <c r="C420" s="23"/>
    </row>
    <row r="421">
      <c r="A421" s="30"/>
      <c r="B421" s="23"/>
      <c r="C421" s="23"/>
    </row>
    <row r="422">
      <c r="A422" s="30"/>
      <c r="B422" s="23"/>
      <c r="C422" s="23"/>
    </row>
    <row r="423">
      <c r="A423" s="30"/>
      <c r="B423" s="23"/>
      <c r="C423" s="23"/>
    </row>
    <row r="424">
      <c r="A424" s="30"/>
      <c r="B424" s="23"/>
      <c r="C424" s="23"/>
    </row>
    <row r="425">
      <c r="A425" s="30"/>
      <c r="B425" s="23"/>
      <c r="C425" s="23"/>
    </row>
    <row r="426">
      <c r="A426" s="30"/>
      <c r="B426" s="23"/>
      <c r="C426" s="23"/>
    </row>
    <row r="427">
      <c r="A427" s="30"/>
      <c r="B427" s="23"/>
      <c r="C427" s="23"/>
    </row>
    <row r="428">
      <c r="A428" s="30"/>
      <c r="B428" s="23"/>
      <c r="C428" s="23"/>
    </row>
    <row r="429">
      <c r="A429" s="30"/>
      <c r="B429" s="23"/>
      <c r="C429" s="23"/>
    </row>
    <row r="430">
      <c r="A430" s="30"/>
      <c r="B430" s="23"/>
      <c r="C430" s="23"/>
    </row>
    <row r="431">
      <c r="A431" s="30"/>
      <c r="B431" s="23"/>
      <c r="C431" s="23"/>
    </row>
    <row r="432">
      <c r="A432" s="30"/>
      <c r="B432" s="23"/>
      <c r="C432" s="23"/>
    </row>
    <row r="433">
      <c r="A433" s="30"/>
      <c r="B433" s="23"/>
      <c r="C433" s="23"/>
    </row>
    <row r="434">
      <c r="A434" s="30"/>
      <c r="B434" s="23"/>
      <c r="C434" s="23"/>
    </row>
    <row r="435">
      <c r="A435" s="30"/>
      <c r="B435" s="23"/>
      <c r="C435" s="23"/>
    </row>
    <row r="436">
      <c r="A436" s="30"/>
      <c r="B436" s="23"/>
      <c r="C436" s="23"/>
    </row>
    <row r="437">
      <c r="A437" s="30"/>
      <c r="B437" s="23"/>
      <c r="C437" s="23"/>
    </row>
    <row r="438">
      <c r="A438" s="30"/>
      <c r="B438" s="23"/>
      <c r="C438" s="23"/>
    </row>
    <row r="439">
      <c r="A439" s="30"/>
      <c r="B439" s="23"/>
      <c r="C439" s="23"/>
    </row>
    <row r="440">
      <c r="A440" s="30"/>
      <c r="B440" s="23"/>
      <c r="C440" s="23"/>
    </row>
    <row r="441">
      <c r="A441" s="30"/>
      <c r="B441" s="23"/>
      <c r="C441" s="23"/>
    </row>
    <row r="442">
      <c r="A442" s="30"/>
      <c r="B442" s="23"/>
      <c r="C442" s="23"/>
    </row>
    <row r="443">
      <c r="A443" s="30"/>
      <c r="B443" s="23"/>
      <c r="C443" s="23"/>
    </row>
    <row r="444">
      <c r="A444" s="30"/>
      <c r="B444" s="23"/>
      <c r="C444" s="23"/>
    </row>
    <row r="445">
      <c r="A445" s="30"/>
      <c r="B445" s="23"/>
      <c r="C445" s="23"/>
    </row>
    <row r="446">
      <c r="A446" s="30"/>
      <c r="B446" s="23"/>
      <c r="C446" s="23"/>
    </row>
    <row r="447">
      <c r="A447" s="30"/>
      <c r="B447" s="23"/>
      <c r="C447" s="23"/>
    </row>
    <row r="448">
      <c r="A448" s="30"/>
      <c r="B448" s="23"/>
      <c r="C448" s="23"/>
    </row>
    <row r="449">
      <c r="A449" s="30"/>
      <c r="B449" s="23"/>
      <c r="C449" s="23"/>
    </row>
    <row r="450">
      <c r="A450" s="30"/>
      <c r="B450" s="23"/>
      <c r="C450" s="23"/>
    </row>
    <row r="451">
      <c r="A451" s="30"/>
      <c r="B451" s="23"/>
      <c r="C451" s="23"/>
    </row>
    <row r="452">
      <c r="A452" s="30"/>
      <c r="B452" s="23"/>
      <c r="C452" s="23"/>
    </row>
    <row r="453">
      <c r="A453" s="30"/>
      <c r="B453" s="23"/>
      <c r="C453" s="23"/>
    </row>
    <row r="454">
      <c r="A454" s="30"/>
      <c r="B454" s="23"/>
      <c r="C454" s="23"/>
    </row>
    <row r="455">
      <c r="A455" s="30"/>
      <c r="B455" s="23"/>
      <c r="C455" s="23"/>
    </row>
    <row r="456">
      <c r="A456" s="30"/>
      <c r="B456" s="23"/>
      <c r="C456" s="23"/>
    </row>
    <row r="457">
      <c r="A457" s="30"/>
      <c r="B457" s="23"/>
      <c r="C457" s="23"/>
    </row>
    <row r="458">
      <c r="A458" s="30"/>
      <c r="B458" s="23"/>
      <c r="C458" s="23"/>
    </row>
    <row r="459">
      <c r="A459" s="30"/>
      <c r="B459" s="23"/>
      <c r="C459" s="23"/>
    </row>
    <row r="460">
      <c r="A460" s="30"/>
      <c r="B460" s="23"/>
      <c r="C460" s="23"/>
    </row>
    <row r="461">
      <c r="A461" s="30"/>
      <c r="B461" s="23"/>
      <c r="C461" s="23"/>
    </row>
    <row r="462">
      <c r="A462" s="30"/>
      <c r="B462" s="23"/>
      <c r="C462" s="23"/>
    </row>
    <row r="463">
      <c r="A463" s="30"/>
      <c r="B463" s="23"/>
      <c r="C463" s="23"/>
    </row>
    <row r="464">
      <c r="A464" s="30"/>
      <c r="B464" s="23"/>
      <c r="C464" s="23"/>
    </row>
    <row r="465">
      <c r="A465" s="30"/>
      <c r="B465" s="23"/>
      <c r="C465" s="23"/>
    </row>
    <row r="466">
      <c r="A466" s="30"/>
      <c r="B466" s="23"/>
      <c r="C466" s="23"/>
    </row>
    <row r="467">
      <c r="A467" s="30"/>
      <c r="B467" s="23"/>
      <c r="C467" s="23"/>
    </row>
    <row r="468">
      <c r="A468" s="30"/>
      <c r="B468" s="23"/>
      <c r="C468" s="23"/>
    </row>
    <row r="469">
      <c r="A469" s="30"/>
      <c r="B469" s="23"/>
      <c r="C469" s="23"/>
    </row>
    <row r="470">
      <c r="A470" s="30"/>
      <c r="B470" s="23"/>
      <c r="C470" s="23"/>
    </row>
    <row r="471">
      <c r="A471" s="30"/>
      <c r="B471" s="23"/>
      <c r="C471" s="23"/>
    </row>
    <row r="472">
      <c r="A472" s="30"/>
      <c r="B472" s="23"/>
      <c r="C472" s="23"/>
    </row>
    <row r="473">
      <c r="A473" s="30"/>
      <c r="B473" s="23"/>
      <c r="C473" s="23"/>
    </row>
    <row r="474">
      <c r="A474" s="30"/>
      <c r="B474" s="23"/>
      <c r="C474" s="23"/>
    </row>
    <row r="475">
      <c r="A475" s="30"/>
      <c r="B475" s="23"/>
      <c r="C475" s="23"/>
    </row>
    <row r="476">
      <c r="A476" s="30"/>
      <c r="B476" s="23"/>
      <c r="C476" s="23"/>
    </row>
    <row r="477">
      <c r="A477" s="30"/>
      <c r="B477" s="23"/>
      <c r="C477" s="23"/>
    </row>
    <row r="478">
      <c r="A478" s="30"/>
      <c r="B478" s="23"/>
      <c r="C478" s="23"/>
    </row>
    <row r="479">
      <c r="A479" s="30"/>
      <c r="B479" s="23"/>
      <c r="C479" s="23"/>
    </row>
    <row r="480">
      <c r="A480" s="30"/>
      <c r="B480" s="23"/>
      <c r="C480" s="23"/>
    </row>
    <row r="481">
      <c r="A481" s="30"/>
      <c r="B481" s="23"/>
      <c r="C481" s="23"/>
    </row>
    <row r="482">
      <c r="A482" s="30"/>
      <c r="B482" s="23"/>
      <c r="C482" s="23"/>
    </row>
    <row r="483">
      <c r="A483" s="30"/>
      <c r="B483" s="23"/>
      <c r="C483" s="23"/>
    </row>
    <row r="484">
      <c r="A484" s="30"/>
      <c r="B484" s="23"/>
      <c r="C484" s="23"/>
    </row>
    <row r="485">
      <c r="A485" s="30"/>
      <c r="B485" s="23"/>
      <c r="C485" s="23"/>
    </row>
    <row r="486">
      <c r="A486" s="30"/>
      <c r="B486" s="23"/>
      <c r="C486" s="23"/>
    </row>
    <row r="487">
      <c r="A487" s="30"/>
      <c r="B487" s="23"/>
      <c r="C487" s="23"/>
    </row>
    <row r="488">
      <c r="A488" s="30"/>
      <c r="B488" s="23"/>
      <c r="C488" s="23"/>
    </row>
    <row r="489">
      <c r="A489" s="30"/>
      <c r="B489" s="23"/>
      <c r="C489" s="23"/>
    </row>
    <row r="490">
      <c r="A490" s="30"/>
      <c r="B490" s="23"/>
      <c r="C490" s="23"/>
    </row>
    <row r="491">
      <c r="A491" s="30"/>
      <c r="B491" s="23"/>
      <c r="C491" s="23"/>
    </row>
    <row r="492">
      <c r="A492" s="30"/>
      <c r="B492" s="23"/>
      <c r="C492" s="23"/>
    </row>
    <row r="493">
      <c r="A493" s="30"/>
      <c r="B493" s="23"/>
      <c r="C493" s="23"/>
    </row>
    <row r="494">
      <c r="A494" s="30"/>
      <c r="B494" s="23"/>
      <c r="C494" s="23"/>
    </row>
    <row r="495">
      <c r="A495" s="30"/>
      <c r="B495" s="23"/>
      <c r="C495" s="23"/>
    </row>
    <row r="496">
      <c r="A496" s="30"/>
      <c r="B496" s="23"/>
      <c r="C496" s="23"/>
    </row>
    <row r="497">
      <c r="A497" s="30"/>
      <c r="B497" s="23"/>
      <c r="C497" s="23"/>
    </row>
    <row r="498">
      <c r="A498" s="30"/>
      <c r="B498" s="23"/>
      <c r="C498" s="23"/>
    </row>
    <row r="499">
      <c r="A499" s="30"/>
      <c r="B499" s="23"/>
      <c r="C499" s="23"/>
    </row>
    <row r="500">
      <c r="A500" s="30"/>
      <c r="B500" s="23"/>
      <c r="C500" s="23"/>
    </row>
    <row r="501">
      <c r="A501" s="30"/>
      <c r="B501" s="23"/>
      <c r="C501" s="23"/>
    </row>
    <row r="502">
      <c r="A502" s="30"/>
      <c r="B502" s="23"/>
      <c r="C502" s="23"/>
    </row>
    <row r="503">
      <c r="A503" s="30"/>
      <c r="B503" s="23"/>
      <c r="C503" s="23"/>
    </row>
    <row r="504">
      <c r="A504" s="30"/>
      <c r="B504" s="23"/>
      <c r="C504" s="23"/>
    </row>
    <row r="505">
      <c r="A505" s="30"/>
      <c r="B505" s="23"/>
      <c r="C505" s="23"/>
    </row>
    <row r="506">
      <c r="A506" s="30"/>
      <c r="B506" s="23"/>
      <c r="C506" s="23"/>
    </row>
    <row r="507">
      <c r="A507" s="30"/>
      <c r="B507" s="23"/>
      <c r="C507" s="23"/>
    </row>
    <row r="508">
      <c r="A508" s="30"/>
      <c r="B508" s="23"/>
      <c r="C508" s="23"/>
    </row>
    <row r="509">
      <c r="A509" s="30"/>
      <c r="B509" s="23"/>
      <c r="C509" s="23"/>
    </row>
    <row r="510">
      <c r="A510" s="30"/>
      <c r="B510" s="23"/>
      <c r="C510" s="23"/>
    </row>
    <row r="511">
      <c r="A511" s="30"/>
      <c r="B511" s="23"/>
      <c r="C511" s="23"/>
    </row>
    <row r="512">
      <c r="A512" s="30"/>
      <c r="B512" s="23"/>
      <c r="C512" s="23"/>
    </row>
    <row r="513">
      <c r="A513" s="30"/>
      <c r="B513" s="23"/>
      <c r="C513" s="23"/>
    </row>
    <row r="514">
      <c r="A514" s="30"/>
      <c r="B514" s="23"/>
      <c r="C514" s="23"/>
    </row>
    <row r="515">
      <c r="A515" s="30"/>
      <c r="B515" s="23"/>
      <c r="C515" s="23"/>
    </row>
    <row r="516">
      <c r="A516" s="30"/>
      <c r="B516" s="23"/>
      <c r="C516" s="23"/>
    </row>
    <row r="517">
      <c r="A517" s="30"/>
      <c r="B517" s="23"/>
      <c r="C517" s="23"/>
    </row>
    <row r="518">
      <c r="A518" s="30"/>
      <c r="B518" s="23"/>
      <c r="C518" s="23"/>
    </row>
    <row r="519">
      <c r="A519" s="30"/>
      <c r="B519" s="23"/>
      <c r="C519" s="23"/>
    </row>
    <row r="520">
      <c r="A520" s="30"/>
      <c r="B520" s="23"/>
      <c r="C520" s="23"/>
    </row>
    <row r="521">
      <c r="A521" s="30"/>
      <c r="B521" s="23"/>
      <c r="C521" s="23"/>
    </row>
    <row r="522">
      <c r="A522" s="30"/>
      <c r="B522" s="23"/>
      <c r="C522" s="23"/>
    </row>
    <row r="523">
      <c r="A523" s="30"/>
      <c r="B523" s="23"/>
      <c r="C523" s="23"/>
    </row>
    <row r="524">
      <c r="A524" s="30"/>
      <c r="B524" s="23"/>
      <c r="C524" s="23"/>
    </row>
    <row r="525">
      <c r="A525" s="30"/>
      <c r="B525" s="23"/>
      <c r="C525" s="23"/>
    </row>
    <row r="526">
      <c r="A526" s="30"/>
      <c r="B526" s="23"/>
      <c r="C526" s="23"/>
    </row>
    <row r="527">
      <c r="A527" s="30"/>
      <c r="B527" s="23"/>
      <c r="C527" s="23"/>
    </row>
    <row r="528">
      <c r="A528" s="30"/>
      <c r="B528" s="23"/>
      <c r="C528" s="23"/>
    </row>
    <row r="529">
      <c r="A529" s="30"/>
      <c r="B529" s="23"/>
      <c r="C529" s="23"/>
    </row>
    <row r="530">
      <c r="A530" s="30"/>
      <c r="B530" s="23"/>
      <c r="C530" s="23"/>
    </row>
    <row r="531">
      <c r="A531" s="30"/>
      <c r="B531" s="23"/>
      <c r="C531" s="23"/>
    </row>
    <row r="532">
      <c r="A532" s="30"/>
      <c r="B532" s="23"/>
      <c r="C532" s="23"/>
    </row>
    <row r="533">
      <c r="A533" s="30"/>
      <c r="B533" s="23"/>
      <c r="C533" s="23"/>
    </row>
    <row r="534">
      <c r="A534" s="30"/>
      <c r="B534" s="23"/>
      <c r="C534" s="23"/>
    </row>
    <row r="535">
      <c r="A535" s="30"/>
      <c r="B535" s="23"/>
      <c r="C535" s="23"/>
    </row>
    <row r="536">
      <c r="A536" s="30"/>
      <c r="B536" s="23"/>
      <c r="C536" s="23"/>
    </row>
    <row r="537">
      <c r="A537" s="30"/>
      <c r="B537" s="23"/>
      <c r="C537" s="23"/>
    </row>
    <row r="538">
      <c r="A538" s="30"/>
      <c r="B538" s="23"/>
      <c r="C538" s="23"/>
    </row>
    <row r="539">
      <c r="A539" s="30"/>
      <c r="B539" s="23"/>
      <c r="C539" s="23"/>
    </row>
    <row r="540">
      <c r="A540" s="30"/>
      <c r="B540" s="23"/>
      <c r="C540" s="23"/>
    </row>
    <row r="541">
      <c r="A541" s="30"/>
      <c r="B541" s="23"/>
      <c r="C541" s="23"/>
    </row>
    <row r="542">
      <c r="A542" s="30"/>
      <c r="B542" s="23"/>
      <c r="C542" s="23"/>
    </row>
    <row r="543">
      <c r="A543" s="30"/>
      <c r="B543" s="23"/>
      <c r="C543" s="23"/>
    </row>
    <row r="544">
      <c r="A544" s="30"/>
      <c r="B544" s="23"/>
      <c r="C544" s="23"/>
    </row>
    <row r="545">
      <c r="A545" s="30"/>
      <c r="B545" s="23"/>
      <c r="C545" s="23"/>
    </row>
    <row r="546">
      <c r="A546" s="30"/>
      <c r="B546" s="23"/>
      <c r="C546" s="23"/>
    </row>
    <row r="547">
      <c r="A547" s="30"/>
      <c r="B547" s="23"/>
      <c r="C547" s="23"/>
    </row>
    <row r="548">
      <c r="A548" s="30"/>
      <c r="B548" s="23"/>
      <c r="C548" s="23"/>
    </row>
    <row r="549">
      <c r="A549" s="30"/>
      <c r="B549" s="23"/>
      <c r="C549" s="23"/>
    </row>
    <row r="550">
      <c r="A550" s="30"/>
      <c r="B550" s="23"/>
      <c r="C550" s="23"/>
    </row>
    <row r="551">
      <c r="A551" s="30"/>
      <c r="B551" s="23"/>
      <c r="C551" s="23"/>
    </row>
    <row r="552">
      <c r="A552" s="30"/>
      <c r="B552" s="23"/>
      <c r="C552" s="23"/>
    </row>
    <row r="553">
      <c r="A553" s="30"/>
      <c r="B553" s="23"/>
      <c r="C553" s="23"/>
    </row>
    <row r="554">
      <c r="A554" s="30"/>
      <c r="B554" s="23"/>
      <c r="C554" s="23"/>
    </row>
    <row r="555">
      <c r="A555" s="30"/>
      <c r="B555" s="23"/>
      <c r="C555" s="23"/>
    </row>
    <row r="556">
      <c r="A556" s="30"/>
      <c r="B556" s="23"/>
      <c r="C556" s="23"/>
    </row>
    <row r="557">
      <c r="A557" s="30"/>
      <c r="B557" s="23"/>
      <c r="C557" s="23"/>
    </row>
    <row r="558">
      <c r="A558" s="30"/>
      <c r="B558" s="23"/>
      <c r="C558" s="23"/>
    </row>
    <row r="559">
      <c r="A559" s="30"/>
      <c r="B559" s="23"/>
      <c r="C559" s="23"/>
    </row>
    <row r="560">
      <c r="A560" s="30"/>
      <c r="B560" s="23"/>
      <c r="C560" s="23"/>
    </row>
    <row r="561">
      <c r="A561" s="30"/>
      <c r="B561" s="23"/>
      <c r="C561" s="23"/>
    </row>
    <row r="562">
      <c r="A562" s="30"/>
      <c r="B562" s="23"/>
      <c r="C562" s="23"/>
    </row>
    <row r="563">
      <c r="A563" s="30"/>
      <c r="B563" s="23"/>
      <c r="C563" s="23"/>
    </row>
    <row r="564">
      <c r="A564" s="30"/>
      <c r="B564" s="23"/>
      <c r="C564" s="23"/>
    </row>
    <row r="565">
      <c r="A565" s="30"/>
      <c r="B565" s="23"/>
      <c r="C565" s="23"/>
    </row>
    <row r="566">
      <c r="A566" s="30"/>
      <c r="B566" s="23"/>
      <c r="C566" s="23"/>
    </row>
    <row r="567">
      <c r="A567" s="30"/>
      <c r="B567" s="23"/>
      <c r="C567" s="23"/>
    </row>
    <row r="568">
      <c r="A568" s="30"/>
      <c r="B568" s="23"/>
      <c r="C568" s="23"/>
    </row>
    <row r="569">
      <c r="A569" s="30"/>
      <c r="B569" s="23"/>
      <c r="C569" s="23"/>
    </row>
    <row r="570">
      <c r="A570" s="30"/>
      <c r="B570" s="23"/>
      <c r="C570" s="23"/>
    </row>
    <row r="571">
      <c r="A571" s="30"/>
      <c r="B571" s="23"/>
      <c r="C571" s="23"/>
    </row>
    <row r="572">
      <c r="A572" s="30"/>
      <c r="B572" s="23"/>
      <c r="C572" s="23"/>
    </row>
    <row r="573">
      <c r="A573" s="30"/>
      <c r="B573" s="23"/>
      <c r="C573" s="23"/>
    </row>
    <row r="574">
      <c r="A574" s="30"/>
      <c r="B574" s="23"/>
      <c r="C574" s="23"/>
    </row>
    <row r="575">
      <c r="A575" s="30"/>
      <c r="B575" s="23"/>
      <c r="C575" s="23"/>
    </row>
    <row r="576">
      <c r="A576" s="30"/>
      <c r="B576" s="23"/>
      <c r="C576" s="23"/>
    </row>
    <row r="577">
      <c r="A577" s="30"/>
      <c r="B577" s="23"/>
      <c r="C577" s="23"/>
    </row>
    <row r="578">
      <c r="A578" s="30"/>
      <c r="B578" s="23"/>
      <c r="C578" s="23"/>
    </row>
    <row r="579">
      <c r="A579" s="30"/>
      <c r="B579" s="23"/>
      <c r="C579" s="23"/>
    </row>
    <row r="580">
      <c r="A580" s="30"/>
      <c r="B580" s="23"/>
      <c r="C580" s="23"/>
    </row>
    <row r="581">
      <c r="A581" s="30"/>
      <c r="B581" s="23"/>
      <c r="C581" s="23"/>
    </row>
    <row r="582">
      <c r="A582" s="30"/>
      <c r="B582" s="23"/>
      <c r="C582" s="23"/>
    </row>
    <row r="583">
      <c r="A583" s="30"/>
      <c r="B583" s="23"/>
      <c r="C583" s="23"/>
    </row>
    <row r="584">
      <c r="A584" s="30"/>
      <c r="B584" s="23"/>
      <c r="C584" s="23"/>
    </row>
    <row r="585">
      <c r="A585" s="30"/>
      <c r="B585" s="23"/>
      <c r="C585" s="23"/>
    </row>
    <row r="586">
      <c r="A586" s="30"/>
      <c r="B586" s="23"/>
      <c r="C586" s="23"/>
    </row>
    <row r="587">
      <c r="A587" s="30"/>
      <c r="B587" s="23"/>
      <c r="C587" s="23"/>
    </row>
    <row r="588">
      <c r="A588" s="30"/>
      <c r="B588" s="23"/>
      <c r="C588" s="23"/>
    </row>
    <row r="589">
      <c r="A589" s="30"/>
      <c r="B589" s="23"/>
      <c r="C589" s="23"/>
    </row>
    <row r="590">
      <c r="A590" s="30"/>
      <c r="B590" s="23"/>
      <c r="C590" s="23"/>
    </row>
    <row r="591">
      <c r="A591" s="30"/>
      <c r="B591" s="23"/>
      <c r="C591" s="23"/>
    </row>
    <row r="592">
      <c r="A592" s="30"/>
      <c r="B592" s="23"/>
      <c r="C592" s="23"/>
    </row>
    <row r="593">
      <c r="A593" s="30"/>
      <c r="B593" s="23"/>
      <c r="C593" s="23"/>
    </row>
    <row r="594">
      <c r="A594" s="30"/>
      <c r="B594" s="23"/>
      <c r="C594" s="23"/>
    </row>
    <row r="595">
      <c r="A595" s="30"/>
      <c r="B595" s="23"/>
      <c r="C595" s="23"/>
    </row>
    <row r="596">
      <c r="A596" s="30"/>
      <c r="B596" s="23"/>
      <c r="C596" s="23"/>
    </row>
    <row r="597">
      <c r="A597" s="30"/>
      <c r="B597" s="23"/>
      <c r="C597" s="23"/>
    </row>
    <row r="598">
      <c r="A598" s="30"/>
      <c r="B598" s="23"/>
      <c r="C598" s="23"/>
    </row>
    <row r="599">
      <c r="A599" s="30"/>
      <c r="B599" s="23"/>
      <c r="C599" s="23"/>
    </row>
    <row r="600">
      <c r="A600" s="30"/>
      <c r="B600" s="23"/>
      <c r="C600" s="23"/>
    </row>
    <row r="601">
      <c r="A601" s="30"/>
      <c r="B601" s="23"/>
      <c r="C601" s="23"/>
    </row>
    <row r="602">
      <c r="A602" s="30"/>
      <c r="B602" s="23"/>
      <c r="C602" s="23"/>
    </row>
    <row r="603">
      <c r="A603" s="30"/>
      <c r="B603" s="23"/>
      <c r="C603" s="23"/>
    </row>
    <row r="604">
      <c r="A604" s="30"/>
      <c r="B604" s="23"/>
      <c r="C604" s="23"/>
    </row>
    <row r="605">
      <c r="A605" s="30"/>
      <c r="B605" s="23"/>
      <c r="C605" s="23"/>
    </row>
    <row r="606">
      <c r="A606" s="30"/>
      <c r="B606" s="23"/>
      <c r="C606" s="23"/>
    </row>
    <row r="607">
      <c r="A607" s="30"/>
      <c r="B607" s="23"/>
      <c r="C607" s="23"/>
    </row>
    <row r="608">
      <c r="A608" s="30"/>
      <c r="B608" s="23"/>
      <c r="C608" s="23"/>
    </row>
    <row r="609">
      <c r="A609" s="30"/>
      <c r="B609" s="23"/>
      <c r="C609" s="23"/>
    </row>
    <row r="610">
      <c r="A610" s="30"/>
      <c r="B610" s="23"/>
      <c r="C610" s="23"/>
    </row>
    <row r="611">
      <c r="A611" s="30"/>
      <c r="B611" s="23"/>
      <c r="C611" s="23"/>
    </row>
    <row r="612">
      <c r="A612" s="30"/>
      <c r="B612" s="23"/>
      <c r="C612" s="23"/>
    </row>
    <row r="613">
      <c r="A613" s="30"/>
      <c r="B613" s="23"/>
      <c r="C613" s="23"/>
    </row>
    <row r="614">
      <c r="A614" s="30"/>
      <c r="B614" s="23"/>
      <c r="C614" s="23"/>
    </row>
    <row r="615">
      <c r="A615" s="30"/>
      <c r="B615" s="23"/>
      <c r="C615" s="23"/>
    </row>
    <row r="616">
      <c r="A616" s="30"/>
      <c r="B616" s="23"/>
      <c r="C616" s="23"/>
    </row>
    <row r="617">
      <c r="A617" s="30"/>
      <c r="B617" s="23"/>
      <c r="C617" s="23"/>
    </row>
    <row r="618">
      <c r="A618" s="30"/>
      <c r="B618" s="23"/>
      <c r="C618" s="23"/>
    </row>
    <row r="619">
      <c r="A619" s="30"/>
      <c r="B619" s="23"/>
      <c r="C619" s="23"/>
    </row>
    <row r="620">
      <c r="A620" s="30"/>
      <c r="B620" s="23"/>
      <c r="C620" s="23"/>
    </row>
    <row r="621">
      <c r="A621" s="30"/>
      <c r="B621" s="23"/>
      <c r="C621" s="23"/>
    </row>
    <row r="622">
      <c r="A622" s="30"/>
      <c r="B622" s="23"/>
      <c r="C622" s="23"/>
    </row>
    <row r="623">
      <c r="A623" s="30"/>
      <c r="B623" s="23"/>
      <c r="C623" s="23"/>
    </row>
    <row r="624">
      <c r="A624" s="30"/>
      <c r="B624" s="23"/>
      <c r="C624" s="23"/>
    </row>
    <row r="625">
      <c r="A625" s="30"/>
      <c r="B625" s="23"/>
      <c r="C625" s="23"/>
    </row>
    <row r="626">
      <c r="A626" s="30"/>
      <c r="B626" s="23"/>
      <c r="C626" s="23"/>
    </row>
    <row r="627">
      <c r="A627" s="30"/>
      <c r="B627" s="23"/>
      <c r="C627" s="23"/>
    </row>
    <row r="628">
      <c r="A628" s="30"/>
      <c r="B628" s="23"/>
      <c r="C628" s="23"/>
    </row>
    <row r="629">
      <c r="A629" s="30"/>
      <c r="B629" s="23"/>
      <c r="C629" s="23"/>
    </row>
    <row r="630">
      <c r="A630" s="30"/>
      <c r="B630" s="23"/>
      <c r="C630" s="23"/>
    </row>
    <row r="631">
      <c r="A631" s="30"/>
      <c r="B631" s="23"/>
      <c r="C631" s="23"/>
    </row>
    <row r="632">
      <c r="A632" s="30"/>
      <c r="B632" s="23"/>
      <c r="C632" s="23"/>
    </row>
    <row r="633">
      <c r="A633" s="30"/>
      <c r="B633" s="23"/>
      <c r="C633" s="23"/>
    </row>
    <row r="634">
      <c r="A634" s="30"/>
      <c r="B634" s="23"/>
      <c r="C634" s="23"/>
    </row>
    <row r="635">
      <c r="A635" s="30"/>
      <c r="B635" s="23"/>
      <c r="C635" s="23"/>
    </row>
    <row r="636">
      <c r="A636" s="30"/>
      <c r="B636" s="23"/>
      <c r="C636" s="23"/>
    </row>
    <row r="637">
      <c r="A637" s="30"/>
      <c r="B637" s="23"/>
      <c r="C637" s="23"/>
    </row>
    <row r="638">
      <c r="A638" s="30"/>
      <c r="B638" s="23"/>
      <c r="C638" s="23"/>
    </row>
    <row r="639">
      <c r="A639" s="30"/>
      <c r="B639" s="23"/>
      <c r="C639" s="23"/>
    </row>
    <row r="640">
      <c r="A640" s="30"/>
      <c r="B640" s="23"/>
      <c r="C640" s="23"/>
    </row>
    <row r="641">
      <c r="A641" s="30"/>
      <c r="B641" s="23"/>
      <c r="C641" s="23"/>
    </row>
    <row r="642">
      <c r="A642" s="30"/>
      <c r="B642" s="23"/>
      <c r="C642" s="23"/>
    </row>
    <row r="643">
      <c r="A643" s="30"/>
      <c r="B643" s="23"/>
      <c r="C643" s="23"/>
    </row>
    <row r="644">
      <c r="A644" s="30"/>
      <c r="B644" s="23"/>
      <c r="C644" s="23"/>
    </row>
    <row r="645">
      <c r="A645" s="30"/>
      <c r="B645" s="23"/>
      <c r="C645" s="23"/>
    </row>
    <row r="646">
      <c r="A646" s="30"/>
      <c r="B646" s="23"/>
      <c r="C646" s="23"/>
    </row>
    <row r="647">
      <c r="A647" s="30"/>
      <c r="B647" s="23"/>
      <c r="C647" s="23"/>
    </row>
    <row r="648">
      <c r="A648" s="30"/>
      <c r="B648" s="23"/>
      <c r="C648" s="23"/>
    </row>
    <row r="649">
      <c r="A649" s="30"/>
      <c r="B649" s="23"/>
      <c r="C649" s="23"/>
    </row>
    <row r="650">
      <c r="A650" s="30"/>
      <c r="B650" s="23"/>
      <c r="C650" s="23"/>
    </row>
    <row r="651">
      <c r="A651" s="30"/>
      <c r="B651" s="23"/>
      <c r="C651" s="23"/>
    </row>
    <row r="652">
      <c r="A652" s="30"/>
      <c r="B652" s="23"/>
      <c r="C652" s="23"/>
    </row>
    <row r="653">
      <c r="A653" s="30"/>
      <c r="B653" s="23"/>
      <c r="C653" s="23"/>
    </row>
    <row r="654">
      <c r="A654" s="30"/>
      <c r="B654" s="23"/>
      <c r="C654" s="23"/>
    </row>
    <row r="655">
      <c r="A655" s="30"/>
      <c r="B655" s="23"/>
      <c r="C655" s="23"/>
    </row>
    <row r="656">
      <c r="A656" s="30"/>
      <c r="B656" s="23"/>
      <c r="C656" s="23"/>
    </row>
    <row r="657">
      <c r="A657" s="30"/>
      <c r="B657" s="23"/>
      <c r="C657" s="23"/>
    </row>
    <row r="658">
      <c r="A658" s="30"/>
      <c r="B658" s="23"/>
      <c r="C658" s="23"/>
    </row>
    <row r="659">
      <c r="A659" s="30"/>
      <c r="B659" s="23"/>
      <c r="C659" s="23"/>
    </row>
    <row r="660">
      <c r="A660" s="30"/>
      <c r="B660" s="23"/>
      <c r="C660" s="23"/>
    </row>
    <row r="661">
      <c r="A661" s="30"/>
      <c r="B661" s="23"/>
      <c r="C661" s="23"/>
    </row>
    <row r="662">
      <c r="A662" s="30"/>
      <c r="B662" s="23"/>
      <c r="C662" s="23"/>
    </row>
    <row r="663">
      <c r="A663" s="30"/>
      <c r="B663" s="23"/>
      <c r="C663" s="23"/>
    </row>
    <row r="664">
      <c r="A664" s="30"/>
      <c r="B664" s="23"/>
      <c r="C664" s="23"/>
    </row>
    <row r="665">
      <c r="A665" s="30"/>
      <c r="B665" s="23"/>
      <c r="C665" s="23"/>
    </row>
    <row r="666">
      <c r="A666" s="30"/>
      <c r="B666" s="23"/>
      <c r="C666" s="23"/>
    </row>
    <row r="667">
      <c r="A667" s="30"/>
      <c r="B667" s="23"/>
      <c r="C667" s="23"/>
    </row>
    <row r="668">
      <c r="A668" s="30"/>
      <c r="B668" s="23"/>
      <c r="C668" s="23"/>
    </row>
    <row r="669">
      <c r="A669" s="30"/>
      <c r="B669" s="23"/>
      <c r="C669" s="23"/>
    </row>
    <row r="670">
      <c r="A670" s="30"/>
      <c r="B670" s="23"/>
      <c r="C670" s="23"/>
    </row>
    <row r="671">
      <c r="A671" s="30"/>
      <c r="B671" s="23"/>
      <c r="C671" s="23"/>
    </row>
    <row r="672">
      <c r="A672" s="30"/>
      <c r="B672" s="23"/>
      <c r="C672" s="23"/>
    </row>
    <row r="673">
      <c r="A673" s="30"/>
      <c r="B673" s="23"/>
      <c r="C673" s="23"/>
    </row>
    <row r="674">
      <c r="A674" s="30"/>
      <c r="B674" s="23"/>
      <c r="C674" s="23"/>
    </row>
    <row r="675">
      <c r="A675" s="30"/>
      <c r="B675" s="23"/>
      <c r="C675" s="23"/>
    </row>
    <row r="676">
      <c r="A676" s="30"/>
      <c r="B676" s="23"/>
      <c r="C676" s="23"/>
    </row>
    <row r="677">
      <c r="A677" s="30"/>
      <c r="B677" s="23"/>
      <c r="C677" s="23"/>
    </row>
    <row r="678">
      <c r="A678" s="30"/>
      <c r="B678" s="23"/>
      <c r="C678" s="23"/>
    </row>
    <row r="679">
      <c r="A679" s="30"/>
      <c r="B679" s="23"/>
      <c r="C679" s="23"/>
    </row>
    <row r="680">
      <c r="A680" s="30"/>
      <c r="B680" s="23"/>
      <c r="C680" s="23"/>
    </row>
    <row r="681">
      <c r="A681" s="30"/>
      <c r="B681" s="23"/>
      <c r="C681" s="23"/>
    </row>
    <row r="682">
      <c r="A682" s="30"/>
      <c r="B682" s="23"/>
      <c r="C682" s="23"/>
    </row>
    <row r="683">
      <c r="A683" s="30"/>
      <c r="B683" s="23"/>
      <c r="C683" s="23"/>
    </row>
    <row r="684">
      <c r="A684" s="30"/>
      <c r="B684" s="23"/>
      <c r="C684" s="23"/>
    </row>
    <row r="685">
      <c r="A685" s="30"/>
      <c r="B685" s="23"/>
      <c r="C685" s="23"/>
    </row>
    <row r="686">
      <c r="A686" s="30"/>
      <c r="B686" s="23"/>
      <c r="C686" s="23"/>
    </row>
    <row r="687">
      <c r="A687" s="30"/>
      <c r="B687" s="23"/>
      <c r="C687" s="23"/>
    </row>
    <row r="688">
      <c r="A688" s="30"/>
      <c r="B688" s="23"/>
      <c r="C688" s="23"/>
    </row>
    <row r="689">
      <c r="A689" s="30"/>
      <c r="B689" s="23"/>
      <c r="C689" s="23"/>
    </row>
    <row r="690">
      <c r="A690" s="30"/>
      <c r="B690" s="23"/>
      <c r="C690" s="23"/>
    </row>
    <row r="691">
      <c r="A691" s="30"/>
      <c r="B691" s="23"/>
      <c r="C691" s="23"/>
    </row>
    <row r="692">
      <c r="A692" s="30"/>
      <c r="B692" s="23"/>
      <c r="C692" s="23"/>
    </row>
    <row r="693">
      <c r="A693" s="30"/>
      <c r="B693" s="23"/>
      <c r="C693" s="23"/>
    </row>
    <row r="694">
      <c r="A694" s="30"/>
      <c r="B694" s="23"/>
      <c r="C694" s="23"/>
    </row>
    <row r="695">
      <c r="A695" s="30"/>
      <c r="B695" s="23"/>
      <c r="C695" s="23"/>
    </row>
    <row r="696">
      <c r="A696" s="30"/>
      <c r="B696" s="23"/>
      <c r="C696" s="23"/>
    </row>
    <row r="697">
      <c r="A697" s="30"/>
      <c r="B697" s="23"/>
      <c r="C697" s="23"/>
    </row>
    <row r="698">
      <c r="A698" s="30"/>
      <c r="B698" s="23"/>
      <c r="C698" s="23"/>
    </row>
    <row r="699">
      <c r="A699" s="30"/>
      <c r="B699" s="23"/>
      <c r="C699" s="23"/>
    </row>
    <row r="700">
      <c r="A700" s="30"/>
      <c r="B700" s="23"/>
      <c r="C700" s="23"/>
    </row>
    <row r="701">
      <c r="A701" s="30"/>
      <c r="B701" s="23"/>
      <c r="C701" s="23"/>
    </row>
    <row r="702">
      <c r="A702" s="30"/>
      <c r="B702" s="23"/>
      <c r="C702" s="23"/>
    </row>
    <row r="703">
      <c r="A703" s="30"/>
      <c r="B703" s="23"/>
      <c r="C703" s="23"/>
    </row>
    <row r="704">
      <c r="A704" s="30"/>
      <c r="B704" s="23"/>
      <c r="C704" s="23"/>
    </row>
    <row r="705">
      <c r="A705" s="30"/>
      <c r="B705" s="23"/>
      <c r="C705" s="23"/>
    </row>
    <row r="706">
      <c r="A706" s="30"/>
      <c r="B706" s="23"/>
      <c r="C706" s="23"/>
    </row>
    <row r="707">
      <c r="A707" s="30"/>
      <c r="B707" s="23"/>
      <c r="C707" s="23"/>
    </row>
    <row r="708">
      <c r="A708" s="30"/>
      <c r="B708" s="23"/>
      <c r="C708" s="23"/>
    </row>
    <row r="709">
      <c r="A709" s="30"/>
      <c r="B709" s="23"/>
      <c r="C709" s="23"/>
    </row>
    <row r="710">
      <c r="A710" s="30"/>
      <c r="B710" s="23"/>
      <c r="C710" s="23"/>
    </row>
    <row r="711">
      <c r="A711" s="30"/>
      <c r="B711" s="23"/>
      <c r="C711" s="23"/>
    </row>
    <row r="712">
      <c r="A712" s="30"/>
      <c r="B712" s="23"/>
      <c r="C712" s="23"/>
    </row>
    <row r="713">
      <c r="A713" s="30"/>
      <c r="B713" s="23"/>
      <c r="C713" s="23"/>
    </row>
    <row r="714">
      <c r="A714" s="30"/>
      <c r="B714" s="23"/>
      <c r="C714" s="23"/>
    </row>
    <row r="715">
      <c r="A715" s="30"/>
      <c r="B715" s="23"/>
      <c r="C715" s="23"/>
    </row>
    <row r="716">
      <c r="A716" s="30"/>
      <c r="B716" s="23"/>
      <c r="C716" s="23"/>
    </row>
    <row r="717">
      <c r="A717" s="30"/>
      <c r="B717" s="23"/>
      <c r="C717" s="23"/>
    </row>
    <row r="718">
      <c r="A718" s="30"/>
      <c r="B718" s="23"/>
      <c r="C718" s="23"/>
    </row>
    <row r="719">
      <c r="A719" s="30"/>
      <c r="B719" s="23"/>
      <c r="C719" s="23"/>
    </row>
    <row r="720">
      <c r="A720" s="30"/>
      <c r="B720" s="23"/>
      <c r="C720" s="23"/>
    </row>
    <row r="721">
      <c r="A721" s="30"/>
      <c r="B721" s="23"/>
      <c r="C721" s="23"/>
    </row>
    <row r="722">
      <c r="A722" s="30"/>
      <c r="B722" s="23"/>
      <c r="C722" s="23"/>
    </row>
    <row r="723">
      <c r="A723" s="30"/>
      <c r="B723" s="23"/>
      <c r="C723" s="23"/>
    </row>
    <row r="724">
      <c r="A724" s="30"/>
      <c r="B724" s="23"/>
      <c r="C724" s="23"/>
    </row>
    <row r="725">
      <c r="A725" s="30"/>
      <c r="B725" s="23"/>
      <c r="C725" s="23"/>
    </row>
    <row r="726">
      <c r="A726" s="30"/>
      <c r="B726" s="23"/>
      <c r="C726" s="23"/>
    </row>
    <row r="727">
      <c r="A727" s="30"/>
      <c r="B727" s="23"/>
      <c r="C727" s="23"/>
    </row>
    <row r="728">
      <c r="A728" s="30"/>
      <c r="B728" s="23"/>
      <c r="C728" s="23"/>
    </row>
    <row r="729">
      <c r="A729" s="30"/>
      <c r="B729" s="23"/>
      <c r="C729" s="23"/>
    </row>
    <row r="730">
      <c r="A730" s="30"/>
      <c r="B730" s="23"/>
      <c r="C730" s="23"/>
    </row>
    <row r="731">
      <c r="A731" s="30"/>
      <c r="B731" s="23"/>
      <c r="C731" s="23"/>
    </row>
    <row r="732">
      <c r="A732" s="30"/>
      <c r="B732" s="23"/>
      <c r="C732" s="23"/>
    </row>
    <row r="733">
      <c r="A733" s="30"/>
      <c r="B733" s="23"/>
      <c r="C733" s="23"/>
    </row>
    <row r="734">
      <c r="A734" s="30"/>
      <c r="B734" s="23"/>
      <c r="C734" s="23"/>
    </row>
    <row r="735">
      <c r="A735" s="30"/>
      <c r="B735" s="23"/>
      <c r="C735" s="23"/>
    </row>
    <row r="736">
      <c r="A736" s="30"/>
      <c r="B736" s="23"/>
      <c r="C736" s="23"/>
    </row>
    <row r="737">
      <c r="A737" s="30"/>
      <c r="B737" s="23"/>
      <c r="C737" s="23"/>
    </row>
    <row r="738">
      <c r="A738" s="30"/>
      <c r="B738" s="23"/>
      <c r="C738" s="23"/>
    </row>
    <row r="739">
      <c r="A739" s="30"/>
      <c r="B739" s="23"/>
      <c r="C739" s="23"/>
    </row>
    <row r="740">
      <c r="A740" s="30"/>
      <c r="B740" s="23"/>
      <c r="C740" s="23"/>
    </row>
    <row r="741">
      <c r="A741" s="30"/>
      <c r="B741" s="23"/>
      <c r="C741" s="23"/>
    </row>
    <row r="742">
      <c r="A742" s="30"/>
      <c r="B742" s="23"/>
      <c r="C742" s="23"/>
    </row>
    <row r="743">
      <c r="A743" s="30"/>
      <c r="B743" s="23"/>
      <c r="C743" s="23"/>
    </row>
    <row r="744">
      <c r="A744" s="30"/>
      <c r="B744" s="23"/>
      <c r="C744" s="23"/>
    </row>
    <row r="745">
      <c r="A745" s="30"/>
      <c r="B745" s="23"/>
      <c r="C745" s="23"/>
    </row>
    <row r="746">
      <c r="A746" s="30"/>
      <c r="B746" s="23"/>
      <c r="C746" s="23"/>
    </row>
    <row r="747">
      <c r="A747" s="30"/>
      <c r="B747" s="23"/>
      <c r="C747" s="23"/>
    </row>
    <row r="748">
      <c r="A748" s="30"/>
      <c r="B748" s="23"/>
      <c r="C748" s="23"/>
    </row>
    <row r="749">
      <c r="A749" s="30"/>
      <c r="B749" s="23"/>
      <c r="C749" s="23"/>
    </row>
    <row r="750">
      <c r="A750" s="30"/>
      <c r="B750" s="23"/>
      <c r="C750" s="23"/>
    </row>
    <row r="751">
      <c r="A751" s="30"/>
      <c r="B751" s="23"/>
      <c r="C751" s="23"/>
    </row>
    <row r="752">
      <c r="A752" s="30"/>
      <c r="B752" s="23"/>
      <c r="C752" s="23"/>
    </row>
    <row r="753">
      <c r="A753" s="30"/>
      <c r="B753" s="23"/>
      <c r="C753" s="23"/>
    </row>
    <row r="754">
      <c r="A754" s="30"/>
      <c r="B754" s="23"/>
      <c r="C754" s="23"/>
    </row>
    <row r="755">
      <c r="A755" s="30"/>
      <c r="B755" s="23"/>
      <c r="C755" s="23"/>
    </row>
    <row r="756">
      <c r="A756" s="30"/>
      <c r="B756" s="23"/>
      <c r="C756" s="23"/>
    </row>
    <row r="757">
      <c r="A757" s="30"/>
      <c r="B757" s="23"/>
      <c r="C757" s="23"/>
    </row>
    <row r="758">
      <c r="A758" s="30"/>
      <c r="B758" s="23"/>
      <c r="C758" s="23"/>
    </row>
    <row r="759">
      <c r="A759" s="30"/>
      <c r="B759" s="23"/>
      <c r="C759" s="23"/>
    </row>
    <row r="760">
      <c r="A760" s="30"/>
      <c r="B760" s="23"/>
      <c r="C760" s="23"/>
    </row>
    <row r="761">
      <c r="A761" s="30"/>
      <c r="B761" s="23"/>
      <c r="C761" s="23"/>
    </row>
    <row r="762">
      <c r="A762" s="30"/>
      <c r="B762" s="23"/>
      <c r="C762" s="23"/>
    </row>
    <row r="763">
      <c r="A763" s="30"/>
      <c r="B763" s="23"/>
      <c r="C763" s="23"/>
    </row>
    <row r="764">
      <c r="A764" s="30"/>
      <c r="B764" s="23"/>
      <c r="C764" s="23"/>
    </row>
    <row r="765">
      <c r="A765" s="30"/>
      <c r="B765" s="23"/>
      <c r="C765" s="23"/>
    </row>
    <row r="766">
      <c r="A766" s="30"/>
      <c r="B766" s="23"/>
      <c r="C766" s="23"/>
    </row>
    <row r="767">
      <c r="A767" s="30"/>
      <c r="B767" s="23"/>
      <c r="C767" s="23"/>
    </row>
    <row r="768">
      <c r="A768" s="30"/>
      <c r="B768" s="23"/>
      <c r="C768" s="23"/>
    </row>
    <row r="769">
      <c r="A769" s="30"/>
      <c r="B769" s="23"/>
      <c r="C769" s="23"/>
    </row>
    <row r="770">
      <c r="A770" s="30"/>
      <c r="B770" s="23"/>
      <c r="C770" s="23"/>
    </row>
    <row r="771">
      <c r="A771" s="30"/>
      <c r="B771" s="23"/>
      <c r="C771" s="23"/>
    </row>
    <row r="772">
      <c r="A772" s="30"/>
      <c r="B772" s="23"/>
      <c r="C772" s="23"/>
    </row>
    <row r="773">
      <c r="A773" s="30"/>
      <c r="B773" s="23"/>
      <c r="C773" s="23"/>
    </row>
    <row r="774">
      <c r="A774" s="30"/>
      <c r="B774" s="23"/>
      <c r="C774" s="23"/>
    </row>
    <row r="775">
      <c r="A775" s="30"/>
      <c r="B775" s="23"/>
      <c r="C775" s="23"/>
    </row>
    <row r="776">
      <c r="A776" s="30"/>
      <c r="B776" s="23"/>
      <c r="C776" s="23"/>
    </row>
    <row r="777">
      <c r="A777" s="30"/>
      <c r="B777" s="23"/>
      <c r="C777" s="23"/>
    </row>
    <row r="778">
      <c r="A778" s="30"/>
      <c r="B778" s="23"/>
      <c r="C778" s="23"/>
    </row>
    <row r="779">
      <c r="A779" s="30"/>
      <c r="B779" s="23"/>
      <c r="C779" s="23"/>
    </row>
    <row r="780">
      <c r="A780" s="30"/>
      <c r="B780" s="23"/>
      <c r="C780" s="23"/>
    </row>
    <row r="781">
      <c r="A781" s="30"/>
      <c r="B781" s="23"/>
      <c r="C781" s="23"/>
    </row>
    <row r="782">
      <c r="A782" s="30"/>
      <c r="B782" s="23"/>
      <c r="C782" s="23"/>
    </row>
    <row r="783">
      <c r="A783" s="30"/>
      <c r="B783" s="23"/>
      <c r="C783" s="23"/>
    </row>
    <row r="784">
      <c r="A784" s="30"/>
      <c r="B784" s="23"/>
      <c r="C784" s="23"/>
    </row>
    <row r="785">
      <c r="A785" s="30"/>
      <c r="B785" s="23"/>
      <c r="C785" s="23"/>
    </row>
    <row r="786">
      <c r="A786" s="30"/>
      <c r="B786" s="23"/>
      <c r="C786" s="23"/>
    </row>
    <row r="787">
      <c r="A787" s="30"/>
      <c r="B787" s="23"/>
      <c r="C787" s="23"/>
    </row>
    <row r="788">
      <c r="A788" s="30"/>
      <c r="B788" s="23"/>
      <c r="C788" s="23"/>
    </row>
    <row r="789">
      <c r="A789" s="30"/>
      <c r="B789" s="23"/>
      <c r="C789" s="23"/>
    </row>
    <row r="790">
      <c r="A790" s="30"/>
      <c r="B790" s="23"/>
      <c r="C790" s="23"/>
    </row>
    <row r="791">
      <c r="A791" s="30"/>
      <c r="B791" s="23"/>
      <c r="C791" s="23"/>
    </row>
    <row r="792">
      <c r="A792" s="30"/>
      <c r="B792" s="23"/>
      <c r="C792" s="23"/>
    </row>
    <row r="793">
      <c r="A793" s="30"/>
      <c r="B793" s="23"/>
      <c r="C793" s="23"/>
    </row>
    <row r="794">
      <c r="A794" s="30"/>
      <c r="B794" s="23"/>
      <c r="C794" s="23"/>
    </row>
    <row r="795">
      <c r="A795" s="30"/>
      <c r="B795" s="23"/>
      <c r="C795" s="23"/>
    </row>
    <row r="796">
      <c r="A796" s="30"/>
      <c r="B796" s="23"/>
      <c r="C796" s="23"/>
    </row>
    <row r="797">
      <c r="A797" s="30"/>
      <c r="B797" s="23"/>
      <c r="C797" s="23"/>
    </row>
    <row r="798">
      <c r="A798" s="30"/>
      <c r="B798" s="23"/>
      <c r="C798" s="23"/>
    </row>
    <row r="799">
      <c r="A799" s="30"/>
      <c r="B799" s="23"/>
      <c r="C799" s="23"/>
    </row>
    <row r="800">
      <c r="A800" s="30"/>
      <c r="B800" s="23"/>
      <c r="C800" s="23"/>
    </row>
    <row r="801">
      <c r="A801" s="30"/>
      <c r="B801" s="23"/>
      <c r="C801" s="23"/>
    </row>
    <row r="802">
      <c r="A802" s="30"/>
      <c r="B802" s="23"/>
      <c r="C802" s="23"/>
    </row>
    <row r="803">
      <c r="A803" s="30"/>
      <c r="B803" s="23"/>
      <c r="C803" s="23"/>
    </row>
    <row r="804">
      <c r="A804" s="30"/>
      <c r="B804" s="23"/>
      <c r="C804" s="23"/>
    </row>
    <row r="805">
      <c r="A805" s="30"/>
      <c r="B805" s="23"/>
      <c r="C805" s="23"/>
    </row>
    <row r="806">
      <c r="A806" s="30"/>
      <c r="B806" s="23"/>
      <c r="C806" s="23"/>
    </row>
    <row r="807">
      <c r="A807" s="30"/>
      <c r="B807" s="23"/>
      <c r="C807" s="23"/>
    </row>
    <row r="808">
      <c r="A808" s="30"/>
      <c r="B808" s="23"/>
      <c r="C808" s="23"/>
    </row>
    <row r="809">
      <c r="A809" s="30"/>
      <c r="B809" s="23"/>
      <c r="C809" s="23"/>
    </row>
    <row r="810">
      <c r="A810" s="30"/>
      <c r="B810" s="23"/>
      <c r="C810" s="23"/>
    </row>
    <row r="811">
      <c r="A811" s="30"/>
      <c r="B811" s="23"/>
      <c r="C811" s="23"/>
    </row>
    <row r="812">
      <c r="A812" s="30"/>
      <c r="B812" s="23"/>
      <c r="C812" s="23"/>
    </row>
    <row r="813">
      <c r="A813" s="30"/>
      <c r="B813" s="23"/>
      <c r="C813" s="23"/>
    </row>
    <row r="814">
      <c r="A814" s="30"/>
      <c r="B814" s="23"/>
      <c r="C814" s="23"/>
    </row>
    <row r="815">
      <c r="A815" s="30"/>
      <c r="B815" s="23"/>
      <c r="C815" s="23"/>
    </row>
    <row r="816">
      <c r="A816" s="30"/>
      <c r="B816" s="23"/>
      <c r="C816" s="23"/>
    </row>
    <row r="817">
      <c r="A817" s="30"/>
      <c r="B817" s="23"/>
      <c r="C817" s="23"/>
    </row>
    <row r="818">
      <c r="A818" s="30"/>
      <c r="B818" s="23"/>
      <c r="C818" s="23"/>
    </row>
    <row r="819">
      <c r="A819" s="30"/>
      <c r="B819" s="23"/>
      <c r="C819" s="23"/>
    </row>
    <row r="820">
      <c r="A820" s="30"/>
      <c r="B820" s="23"/>
      <c r="C820" s="23"/>
    </row>
    <row r="821">
      <c r="A821" s="30"/>
      <c r="B821" s="23"/>
      <c r="C821" s="23"/>
    </row>
    <row r="822">
      <c r="A822" s="30"/>
      <c r="B822" s="23"/>
      <c r="C822" s="23"/>
    </row>
    <row r="823">
      <c r="A823" s="30"/>
      <c r="B823" s="23"/>
      <c r="C823" s="23"/>
    </row>
    <row r="824">
      <c r="A824" s="30"/>
      <c r="B824" s="23"/>
      <c r="C824" s="23"/>
    </row>
    <row r="825">
      <c r="A825" s="30"/>
      <c r="B825" s="23"/>
      <c r="C825" s="23"/>
    </row>
    <row r="826">
      <c r="A826" s="30"/>
      <c r="B826" s="23"/>
      <c r="C826" s="23"/>
    </row>
    <row r="827">
      <c r="A827" s="30"/>
      <c r="B827" s="23"/>
      <c r="C827" s="23"/>
    </row>
    <row r="828">
      <c r="A828" s="30"/>
      <c r="B828" s="23"/>
      <c r="C828" s="23"/>
    </row>
    <row r="829">
      <c r="A829" s="30"/>
      <c r="B829" s="23"/>
      <c r="C829" s="23"/>
    </row>
    <row r="830">
      <c r="A830" s="30"/>
      <c r="B830" s="23"/>
      <c r="C830" s="23"/>
    </row>
    <row r="831">
      <c r="A831" s="30"/>
      <c r="B831" s="23"/>
      <c r="C831" s="23"/>
    </row>
    <row r="832">
      <c r="A832" s="30"/>
      <c r="B832" s="23"/>
      <c r="C832" s="23"/>
    </row>
    <row r="833">
      <c r="A833" s="30"/>
      <c r="B833" s="23"/>
      <c r="C833" s="23"/>
    </row>
    <row r="834">
      <c r="A834" s="30"/>
      <c r="B834" s="23"/>
      <c r="C834" s="23"/>
    </row>
    <row r="835">
      <c r="A835" s="30"/>
      <c r="B835" s="23"/>
      <c r="C835" s="23"/>
    </row>
    <row r="836">
      <c r="A836" s="30"/>
      <c r="B836" s="23"/>
      <c r="C836" s="23"/>
    </row>
    <row r="837">
      <c r="A837" s="30"/>
      <c r="B837" s="23"/>
      <c r="C837" s="23"/>
    </row>
    <row r="838">
      <c r="A838" s="30"/>
      <c r="B838" s="23"/>
      <c r="C838" s="23"/>
    </row>
    <row r="839">
      <c r="A839" s="30"/>
      <c r="B839" s="23"/>
      <c r="C839" s="23"/>
    </row>
    <row r="840">
      <c r="A840" s="30"/>
      <c r="B840" s="23"/>
      <c r="C840" s="23"/>
    </row>
    <row r="841">
      <c r="A841" s="30"/>
      <c r="B841" s="23"/>
      <c r="C841" s="23"/>
    </row>
    <row r="842">
      <c r="A842" s="30"/>
      <c r="B842" s="23"/>
      <c r="C842" s="23"/>
    </row>
    <row r="843">
      <c r="A843" s="30"/>
      <c r="B843" s="23"/>
      <c r="C843" s="23"/>
    </row>
    <row r="844">
      <c r="A844" s="30"/>
      <c r="B844" s="23"/>
      <c r="C844" s="23"/>
    </row>
    <row r="845">
      <c r="A845" s="30"/>
      <c r="B845" s="23"/>
      <c r="C845" s="23"/>
    </row>
    <row r="846">
      <c r="A846" s="30"/>
      <c r="B846" s="23"/>
      <c r="C846" s="23"/>
    </row>
    <row r="847">
      <c r="A847" s="30"/>
      <c r="B847" s="23"/>
      <c r="C847" s="23"/>
    </row>
    <row r="848">
      <c r="A848" s="30"/>
      <c r="B848" s="23"/>
      <c r="C848" s="23"/>
    </row>
    <row r="849">
      <c r="A849" s="30"/>
      <c r="B849" s="23"/>
      <c r="C849" s="23"/>
    </row>
    <row r="850">
      <c r="A850" s="30"/>
      <c r="B850" s="23"/>
      <c r="C850" s="23"/>
    </row>
    <row r="851">
      <c r="A851" s="30"/>
      <c r="B851" s="23"/>
      <c r="C851" s="23"/>
    </row>
    <row r="852">
      <c r="A852" s="30"/>
      <c r="B852" s="23"/>
      <c r="C852" s="23"/>
    </row>
    <row r="853">
      <c r="A853" s="30"/>
      <c r="B853" s="23"/>
      <c r="C853" s="23"/>
    </row>
    <row r="854">
      <c r="A854" s="30"/>
      <c r="B854" s="23"/>
      <c r="C854" s="23"/>
    </row>
    <row r="855">
      <c r="A855" s="30"/>
      <c r="B855" s="23"/>
      <c r="C855" s="23"/>
    </row>
    <row r="856">
      <c r="A856" s="30"/>
      <c r="B856" s="23"/>
      <c r="C856" s="23"/>
    </row>
    <row r="857">
      <c r="A857" s="30"/>
      <c r="B857" s="23"/>
      <c r="C857" s="23"/>
    </row>
    <row r="858">
      <c r="A858" s="30"/>
      <c r="B858" s="23"/>
      <c r="C858" s="23"/>
    </row>
    <row r="859">
      <c r="A859" s="30"/>
      <c r="B859" s="23"/>
      <c r="C859" s="23"/>
    </row>
    <row r="860">
      <c r="A860" s="30"/>
      <c r="B860" s="23"/>
      <c r="C860" s="23"/>
    </row>
    <row r="861">
      <c r="A861" s="30"/>
      <c r="B861" s="23"/>
      <c r="C861" s="23"/>
    </row>
    <row r="862">
      <c r="A862" s="30"/>
      <c r="B862" s="23"/>
      <c r="C862" s="23"/>
    </row>
    <row r="863">
      <c r="A863" s="30"/>
      <c r="B863" s="23"/>
      <c r="C863" s="23"/>
    </row>
    <row r="864">
      <c r="A864" s="30"/>
      <c r="B864" s="23"/>
      <c r="C864" s="23"/>
    </row>
    <row r="865">
      <c r="A865" s="30"/>
      <c r="B865" s="23"/>
      <c r="C865" s="23"/>
    </row>
    <row r="866">
      <c r="A866" s="30"/>
      <c r="B866" s="23"/>
      <c r="C866" s="23"/>
    </row>
    <row r="867">
      <c r="A867" s="30"/>
      <c r="B867" s="23"/>
      <c r="C867" s="23"/>
    </row>
    <row r="868">
      <c r="A868" s="30"/>
      <c r="B868" s="23"/>
      <c r="C868" s="23"/>
    </row>
    <row r="869">
      <c r="A869" s="30"/>
      <c r="B869" s="23"/>
      <c r="C869" s="23"/>
    </row>
    <row r="870">
      <c r="A870" s="30"/>
      <c r="B870" s="23"/>
      <c r="C870" s="23"/>
    </row>
    <row r="871">
      <c r="A871" s="30"/>
      <c r="B871" s="23"/>
      <c r="C871" s="23"/>
    </row>
    <row r="872">
      <c r="A872" s="30"/>
      <c r="B872" s="23"/>
      <c r="C872" s="23"/>
    </row>
    <row r="873">
      <c r="A873" s="30"/>
      <c r="B873" s="23"/>
      <c r="C873" s="23"/>
    </row>
    <row r="874">
      <c r="A874" s="30"/>
      <c r="B874" s="23"/>
      <c r="C874" s="23"/>
    </row>
    <row r="875">
      <c r="A875" s="30"/>
      <c r="B875" s="23"/>
      <c r="C875" s="23"/>
    </row>
    <row r="876">
      <c r="A876" s="30"/>
      <c r="B876" s="23"/>
      <c r="C876" s="23"/>
    </row>
    <row r="877">
      <c r="A877" s="30"/>
      <c r="B877" s="23"/>
      <c r="C877" s="23"/>
    </row>
    <row r="878">
      <c r="A878" s="30"/>
      <c r="B878" s="23"/>
      <c r="C878" s="23"/>
    </row>
    <row r="879">
      <c r="A879" s="30"/>
      <c r="B879" s="23"/>
      <c r="C879" s="23"/>
    </row>
    <row r="880">
      <c r="A880" s="30"/>
      <c r="B880" s="23"/>
      <c r="C880" s="23"/>
    </row>
    <row r="881">
      <c r="A881" s="30"/>
      <c r="B881" s="23"/>
      <c r="C881" s="23"/>
    </row>
    <row r="882">
      <c r="A882" s="30"/>
      <c r="B882" s="23"/>
      <c r="C882" s="23"/>
    </row>
    <row r="883">
      <c r="A883" s="30"/>
      <c r="B883" s="23"/>
      <c r="C883" s="23"/>
    </row>
    <row r="884">
      <c r="A884" s="30"/>
      <c r="B884" s="23"/>
      <c r="C884" s="23"/>
    </row>
    <row r="885">
      <c r="A885" s="30"/>
      <c r="B885" s="23"/>
      <c r="C885" s="23"/>
    </row>
    <row r="886">
      <c r="A886" s="30"/>
      <c r="B886" s="23"/>
      <c r="C886" s="23"/>
    </row>
    <row r="887">
      <c r="A887" s="30"/>
      <c r="B887" s="23"/>
      <c r="C887" s="23"/>
    </row>
    <row r="888">
      <c r="A888" s="30"/>
      <c r="B888" s="23"/>
      <c r="C888" s="23"/>
    </row>
    <row r="889">
      <c r="A889" s="30"/>
      <c r="B889" s="23"/>
      <c r="C889" s="23"/>
    </row>
    <row r="890">
      <c r="A890" s="30"/>
      <c r="B890" s="23"/>
      <c r="C890" s="23"/>
    </row>
    <row r="891">
      <c r="A891" s="30"/>
      <c r="B891" s="23"/>
      <c r="C891" s="23"/>
    </row>
    <row r="892">
      <c r="A892" s="30"/>
      <c r="B892" s="23"/>
      <c r="C892" s="23"/>
    </row>
    <row r="893">
      <c r="A893" s="30"/>
      <c r="B893" s="23"/>
      <c r="C893" s="23"/>
    </row>
    <row r="894">
      <c r="A894" s="30"/>
      <c r="B894" s="23"/>
      <c r="C894" s="23"/>
    </row>
    <row r="895">
      <c r="A895" s="30"/>
      <c r="B895" s="23"/>
      <c r="C895" s="23"/>
    </row>
    <row r="896">
      <c r="A896" s="30"/>
      <c r="B896" s="23"/>
      <c r="C896" s="23"/>
    </row>
    <row r="897">
      <c r="A897" s="30"/>
      <c r="B897" s="23"/>
      <c r="C897" s="23"/>
    </row>
    <row r="898">
      <c r="A898" s="30"/>
      <c r="B898" s="23"/>
      <c r="C898" s="23"/>
    </row>
    <row r="899">
      <c r="A899" s="30"/>
      <c r="B899" s="23"/>
      <c r="C899" s="23"/>
    </row>
    <row r="900">
      <c r="A900" s="30"/>
      <c r="B900" s="23"/>
      <c r="C900" s="23"/>
    </row>
    <row r="901">
      <c r="A901" s="30"/>
      <c r="B901" s="23"/>
      <c r="C901" s="23"/>
    </row>
    <row r="902">
      <c r="A902" s="30"/>
      <c r="B902" s="23"/>
      <c r="C902" s="23"/>
    </row>
    <row r="903">
      <c r="A903" s="30"/>
      <c r="B903" s="23"/>
      <c r="C903" s="23"/>
    </row>
    <row r="904">
      <c r="A904" s="30"/>
      <c r="B904" s="23"/>
      <c r="C904" s="23"/>
    </row>
    <row r="905">
      <c r="A905" s="30"/>
      <c r="B905" s="23"/>
      <c r="C905" s="23"/>
    </row>
    <row r="906">
      <c r="A906" s="30"/>
      <c r="B906" s="23"/>
      <c r="C906" s="23"/>
    </row>
    <row r="907">
      <c r="A907" s="30"/>
      <c r="B907" s="23"/>
      <c r="C907" s="23"/>
    </row>
    <row r="908">
      <c r="A908" s="30"/>
      <c r="B908" s="23"/>
      <c r="C908" s="23"/>
    </row>
    <row r="909">
      <c r="A909" s="30"/>
      <c r="B909" s="23"/>
      <c r="C909" s="23"/>
    </row>
    <row r="910">
      <c r="A910" s="30"/>
      <c r="B910" s="23"/>
      <c r="C910" s="23"/>
    </row>
    <row r="911">
      <c r="A911" s="30"/>
      <c r="B911" s="23"/>
      <c r="C911" s="23"/>
    </row>
    <row r="912">
      <c r="A912" s="30"/>
      <c r="B912" s="23"/>
      <c r="C912" s="23"/>
    </row>
    <row r="913">
      <c r="A913" s="30"/>
      <c r="B913" s="23"/>
      <c r="C913" s="23"/>
    </row>
    <row r="914">
      <c r="A914" s="30"/>
      <c r="B914" s="23"/>
      <c r="C914" s="23"/>
    </row>
    <row r="915">
      <c r="A915" s="30"/>
      <c r="B915" s="23"/>
      <c r="C915" s="23"/>
    </row>
    <row r="916">
      <c r="A916" s="30"/>
      <c r="B916" s="23"/>
      <c r="C916" s="23"/>
    </row>
    <row r="917">
      <c r="A917" s="30"/>
      <c r="B917" s="23"/>
      <c r="C917" s="23"/>
    </row>
    <row r="918">
      <c r="A918" s="30"/>
      <c r="B918" s="23"/>
      <c r="C918" s="23"/>
    </row>
    <row r="919">
      <c r="A919" s="30"/>
      <c r="B919" s="23"/>
      <c r="C919" s="23"/>
    </row>
    <row r="920">
      <c r="A920" s="30"/>
      <c r="B920" s="23"/>
      <c r="C920" s="23"/>
    </row>
    <row r="921">
      <c r="A921" s="30"/>
      <c r="B921" s="23"/>
      <c r="C921" s="23"/>
    </row>
    <row r="922">
      <c r="A922" s="30"/>
      <c r="B922" s="23"/>
      <c r="C922" s="23"/>
    </row>
    <row r="923">
      <c r="A923" s="30"/>
      <c r="B923" s="23"/>
      <c r="C923" s="23"/>
    </row>
    <row r="924">
      <c r="A924" s="30"/>
      <c r="B924" s="23"/>
      <c r="C924" s="23"/>
    </row>
    <row r="925">
      <c r="A925" s="30"/>
      <c r="B925" s="23"/>
      <c r="C925" s="23"/>
    </row>
    <row r="926">
      <c r="A926" s="30"/>
      <c r="B926" s="23"/>
      <c r="C926" s="23"/>
    </row>
    <row r="927">
      <c r="A927" s="30"/>
      <c r="B927" s="23"/>
      <c r="C927" s="23"/>
    </row>
    <row r="928">
      <c r="A928" s="30"/>
      <c r="B928" s="23"/>
      <c r="C928" s="23"/>
    </row>
    <row r="929">
      <c r="A929" s="30"/>
      <c r="B929" s="23"/>
      <c r="C929" s="23"/>
    </row>
    <row r="930">
      <c r="A930" s="30"/>
      <c r="B930" s="23"/>
      <c r="C930" s="23"/>
    </row>
    <row r="931">
      <c r="A931" s="30"/>
      <c r="B931" s="23"/>
      <c r="C931" s="23"/>
    </row>
    <row r="932">
      <c r="A932" s="30"/>
      <c r="B932" s="23"/>
      <c r="C932" s="23"/>
    </row>
    <row r="933">
      <c r="A933" s="30"/>
      <c r="B933" s="23"/>
      <c r="C933" s="23"/>
    </row>
    <row r="934">
      <c r="A934" s="30"/>
      <c r="B934" s="23"/>
      <c r="C934" s="23"/>
    </row>
    <row r="935">
      <c r="A935" s="30"/>
      <c r="B935" s="23"/>
      <c r="C935" s="23"/>
    </row>
    <row r="936">
      <c r="A936" s="30"/>
      <c r="B936" s="23"/>
      <c r="C936" s="23"/>
    </row>
    <row r="937">
      <c r="A937" s="30"/>
      <c r="B937" s="23"/>
      <c r="C937" s="23"/>
    </row>
    <row r="938">
      <c r="A938" s="30"/>
      <c r="B938" s="23"/>
      <c r="C938" s="23"/>
    </row>
    <row r="939">
      <c r="A939" s="30"/>
      <c r="B939" s="23"/>
      <c r="C939" s="23"/>
    </row>
    <row r="940">
      <c r="A940" s="30"/>
      <c r="B940" s="23"/>
      <c r="C940" s="23"/>
    </row>
    <row r="941">
      <c r="A941" s="30"/>
      <c r="B941" s="23"/>
      <c r="C941" s="23"/>
    </row>
    <row r="942">
      <c r="A942" s="30"/>
      <c r="B942" s="23"/>
      <c r="C942" s="23"/>
    </row>
    <row r="943">
      <c r="A943" s="30"/>
      <c r="B943" s="23"/>
      <c r="C943" s="23"/>
    </row>
    <row r="944">
      <c r="A944" s="30"/>
      <c r="B944" s="23"/>
      <c r="C944" s="23"/>
    </row>
    <row r="945">
      <c r="A945" s="30"/>
      <c r="B945" s="23"/>
      <c r="C945" s="23"/>
    </row>
    <row r="946">
      <c r="A946" s="30"/>
      <c r="B946" s="23"/>
      <c r="C946" s="23"/>
    </row>
    <row r="947">
      <c r="A947" s="30"/>
      <c r="B947" s="23"/>
      <c r="C947" s="23"/>
    </row>
    <row r="948">
      <c r="A948" s="30"/>
      <c r="B948" s="23"/>
      <c r="C948" s="23"/>
    </row>
    <row r="949">
      <c r="A949" s="30"/>
      <c r="B949" s="23"/>
      <c r="C949" s="23"/>
    </row>
    <row r="950">
      <c r="A950" s="30"/>
      <c r="B950" s="23"/>
      <c r="C950" s="23"/>
    </row>
    <row r="951">
      <c r="A951" s="30"/>
      <c r="B951" s="23"/>
      <c r="C951" s="23"/>
    </row>
    <row r="952">
      <c r="A952" s="30"/>
      <c r="B952" s="23"/>
      <c r="C952" s="23"/>
    </row>
    <row r="953">
      <c r="A953" s="30"/>
      <c r="B953" s="23"/>
      <c r="C953" s="23"/>
    </row>
    <row r="954">
      <c r="A954" s="30"/>
      <c r="B954" s="23"/>
      <c r="C954" s="23"/>
    </row>
    <row r="955">
      <c r="A955" s="30"/>
      <c r="B955" s="23"/>
      <c r="C955" s="23"/>
    </row>
    <row r="956">
      <c r="A956" s="30"/>
      <c r="B956" s="23"/>
      <c r="C956" s="23"/>
    </row>
    <row r="957">
      <c r="A957" s="30"/>
      <c r="B957" s="23"/>
      <c r="C957" s="23"/>
    </row>
    <row r="958">
      <c r="A958" s="30"/>
      <c r="B958" s="23"/>
      <c r="C958" s="23"/>
    </row>
    <row r="959">
      <c r="A959" s="30"/>
      <c r="B959" s="23"/>
      <c r="C959" s="23"/>
    </row>
    <row r="960">
      <c r="A960" s="30"/>
      <c r="B960" s="23"/>
      <c r="C960" s="23"/>
    </row>
    <row r="961">
      <c r="A961" s="30"/>
      <c r="B961" s="23"/>
      <c r="C961" s="23"/>
    </row>
    <row r="962">
      <c r="A962" s="30"/>
      <c r="B962" s="23"/>
      <c r="C962" s="23"/>
    </row>
    <row r="963">
      <c r="A963" s="30"/>
      <c r="B963" s="23"/>
      <c r="C963" s="23"/>
    </row>
    <row r="964">
      <c r="A964" s="30"/>
      <c r="B964" s="23"/>
      <c r="C964" s="23"/>
    </row>
    <row r="965">
      <c r="A965" s="30"/>
      <c r="B965" s="23"/>
      <c r="C965" s="23"/>
    </row>
    <row r="966">
      <c r="A966" s="30"/>
      <c r="B966" s="23"/>
      <c r="C966" s="23"/>
    </row>
    <row r="967">
      <c r="A967" s="30"/>
      <c r="B967" s="23"/>
      <c r="C967" s="23"/>
    </row>
    <row r="968">
      <c r="A968" s="30"/>
      <c r="B968" s="23"/>
      <c r="C968" s="23"/>
    </row>
    <row r="969">
      <c r="A969" s="30"/>
      <c r="B969" s="23"/>
      <c r="C969" s="23"/>
    </row>
    <row r="970">
      <c r="A970" s="30"/>
      <c r="B970" s="23"/>
      <c r="C970" s="23"/>
    </row>
    <row r="971">
      <c r="A971" s="30"/>
      <c r="B971" s="23"/>
      <c r="C971" s="23"/>
    </row>
    <row r="972">
      <c r="A972" s="30"/>
      <c r="B972" s="23"/>
      <c r="C972" s="23"/>
    </row>
    <row r="973">
      <c r="A973" s="30"/>
      <c r="B973" s="23"/>
      <c r="C973" s="23"/>
    </row>
    <row r="974">
      <c r="A974" s="30"/>
      <c r="B974" s="23"/>
      <c r="C974" s="23"/>
    </row>
    <row r="975">
      <c r="A975" s="30"/>
      <c r="B975" s="23"/>
      <c r="C975" s="23"/>
    </row>
    <row r="976">
      <c r="A976" s="30"/>
      <c r="B976" s="23"/>
      <c r="C976" s="23"/>
    </row>
    <row r="977">
      <c r="A977" s="30"/>
      <c r="B977" s="23"/>
      <c r="C977" s="23"/>
    </row>
    <row r="978">
      <c r="A978" s="30"/>
      <c r="B978" s="23"/>
      <c r="C978" s="23"/>
    </row>
    <row r="979">
      <c r="A979" s="30"/>
      <c r="B979" s="23"/>
      <c r="C979" s="23"/>
    </row>
    <row r="980">
      <c r="A980" s="30"/>
      <c r="B980" s="23"/>
      <c r="C980" s="23"/>
    </row>
    <row r="981">
      <c r="A981" s="30"/>
      <c r="B981" s="23"/>
      <c r="C981" s="23"/>
    </row>
    <row r="982">
      <c r="A982" s="30"/>
      <c r="B982" s="23"/>
      <c r="C982" s="23"/>
    </row>
    <row r="983">
      <c r="A983" s="30"/>
      <c r="B983" s="23"/>
      <c r="C983" s="23"/>
    </row>
    <row r="984">
      <c r="A984" s="30"/>
      <c r="B984" s="23"/>
      <c r="C984" s="23"/>
    </row>
    <row r="985">
      <c r="A985" s="30"/>
      <c r="B985" s="23"/>
      <c r="C985" s="23"/>
    </row>
    <row r="986">
      <c r="A986" s="30"/>
      <c r="B986" s="23"/>
      <c r="C986" s="23"/>
    </row>
    <row r="987">
      <c r="A987" s="30"/>
      <c r="B987" s="23"/>
      <c r="C987" s="23"/>
    </row>
    <row r="988">
      <c r="A988" s="30"/>
      <c r="B988" s="23"/>
      <c r="C988" s="23"/>
    </row>
    <row r="989">
      <c r="A989" s="30"/>
      <c r="B989" s="23"/>
      <c r="C989" s="23"/>
    </row>
    <row r="990">
      <c r="A990" s="30"/>
      <c r="B990" s="23"/>
      <c r="C990" s="23"/>
    </row>
    <row r="991">
      <c r="A991" s="30"/>
      <c r="B991" s="23"/>
      <c r="C991" s="23"/>
    </row>
    <row r="992">
      <c r="A992" s="30"/>
      <c r="B992" s="23"/>
      <c r="C992" s="23"/>
    </row>
    <row r="993">
      <c r="A993" s="30"/>
      <c r="B993" s="23"/>
      <c r="C993" s="23"/>
    </row>
    <row r="994">
      <c r="A994" s="30"/>
      <c r="B994" s="23"/>
      <c r="C994" s="23"/>
    </row>
    <row r="995">
      <c r="A995" s="30"/>
      <c r="B995" s="23"/>
      <c r="C995" s="23"/>
    </row>
    <row r="996">
      <c r="A996" s="30"/>
      <c r="B996" s="23"/>
      <c r="C996" s="23"/>
    </row>
    <row r="997">
      <c r="A997" s="30"/>
      <c r="B997" s="23"/>
      <c r="C997" s="23"/>
    </row>
    <row r="998">
      <c r="A998" s="30"/>
      <c r="B998" s="23"/>
      <c r="C998" s="23"/>
    </row>
    <row r="999">
      <c r="A999" s="30"/>
      <c r="B999" s="23"/>
      <c r="C999" s="23"/>
    </row>
    <row r="1000">
      <c r="A1000" s="30"/>
      <c r="B1000" s="23"/>
      <c r="C1000" s="23"/>
    </row>
  </sheetData>
  <hyperlinks>
    <hyperlink r:id="rId1" ref="B1"/>
    <hyperlink r:id="rId2" ref="C1"/>
    <hyperlink r:id="rId3" ref="F1"/>
    <hyperlink r:id="rId4" ref="G1"/>
  </hyperlinks>
  <drawing r:id="rId5"/>
  <tableParts count="2">
    <tablePart r:id="rId8"/>
    <tablePart r:id="rId9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3.13"/>
  </cols>
  <sheetData>
    <row r="1">
      <c r="A1" s="29" t="s">
        <v>0</v>
      </c>
      <c r="B1" s="43" t="s">
        <v>1</v>
      </c>
      <c r="C1" s="43" t="s">
        <v>2</v>
      </c>
      <c r="D1" s="19"/>
      <c r="E1" s="44"/>
      <c r="F1" s="43" t="s">
        <v>1</v>
      </c>
      <c r="G1" s="43" t="s">
        <v>2</v>
      </c>
    </row>
    <row r="2">
      <c r="A2" s="32">
        <v>46048.0</v>
      </c>
      <c r="B2" s="34">
        <v>-0.030538783093358224</v>
      </c>
      <c r="C2" s="34">
        <v>0.016399351234456683</v>
      </c>
      <c r="D2" s="20"/>
      <c r="E2" s="45" t="s">
        <v>19</v>
      </c>
      <c r="F2" s="46">
        <f t="shared" ref="F2:G2" si="1">AVERAGE(B2:B52)</f>
        <v>-0.002794805997</v>
      </c>
      <c r="G2" s="46">
        <f t="shared" si="1"/>
        <v>0.001430450845</v>
      </c>
    </row>
    <row r="3">
      <c r="A3" s="32">
        <v>46041.0</v>
      </c>
      <c r="B3" s="34">
        <v>-0.021363636363636362</v>
      </c>
      <c r="C3" s="34">
        <v>-0.0019784172661870825</v>
      </c>
      <c r="E3" s="45" t="s">
        <v>20</v>
      </c>
      <c r="F3" s="47">
        <f t="shared" ref="F3:G3" si="2">AVEDEV(B2:B52)*51/50</f>
        <v>0.037265264</v>
      </c>
      <c r="G3" s="47">
        <f t="shared" si="2"/>
        <v>0.02896458518</v>
      </c>
    </row>
    <row r="4">
      <c r="A4" s="32">
        <v>46034.0</v>
      </c>
      <c r="B4" s="34">
        <v>-0.016320143080706395</v>
      </c>
      <c r="C4" s="34">
        <v>-0.04038660683465645</v>
      </c>
      <c r="E4" s="45" t="s">
        <v>21</v>
      </c>
      <c r="F4" s="47">
        <f t="shared" ref="F4:G4" si="3">_xlfn.VAR.S(B2:B52)</f>
        <v>0.002065500713</v>
      </c>
      <c r="G4" s="47">
        <f t="shared" si="3"/>
        <v>0.00177218022</v>
      </c>
    </row>
    <row r="5">
      <c r="A5" s="32">
        <v>46027.0</v>
      </c>
      <c r="B5" s="34">
        <v>-0.016815034619188984</v>
      </c>
      <c r="C5" s="34">
        <v>0.03603039785426909</v>
      </c>
      <c r="E5" s="45" t="s">
        <v>22</v>
      </c>
      <c r="F5" s="48">
        <f t="shared" ref="F5:G5" si="4">_xlfn.STDEV.S(B2:B52)</f>
        <v>0.04544778006</v>
      </c>
      <c r="G5" s="49">
        <f t="shared" si="4"/>
        <v>0.04209727094</v>
      </c>
    </row>
    <row r="6">
      <c r="A6" s="32">
        <v>46020.0</v>
      </c>
      <c r="B6" s="34">
        <v>-0.03683709114004452</v>
      </c>
      <c r="C6" s="34">
        <v>-0.015058119056005737</v>
      </c>
      <c r="E6" s="50" t="s">
        <v>30</v>
      </c>
      <c r="F6" s="51">
        <f t="shared" ref="F6:G6" si="5">F5/F2</f>
        <v>-16.26151515</v>
      </c>
      <c r="G6" s="51">
        <f t="shared" si="5"/>
        <v>29.42937263</v>
      </c>
    </row>
    <row r="7">
      <c r="A7" s="32">
        <v>46013.0</v>
      </c>
      <c r="B7" s="34">
        <v>8.475474096831803E-4</v>
      </c>
      <c r="C7" s="34">
        <v>0.02778531993845612</v>
      </c>
    </row>
    <row r="8">
      <c r="A8" s="32">
        <v>46006.0</v>
      </c>
      <c r="B8" s="34">
        <v>-0.008404244143292328</v>
      </c>
      <c r="C8" s="34">
        <v>-0.0032476319350474014</v>
      </c>
      <c r="E8" s="13" t="s">
        <v>31</v>
      </c>
    </row>
    <row r="9">
      <c r="A9" s="32">
        <v>45999.0</v>
      </c>
      <c r="B9" s="34">
        <v>-0.05037909018355946</v>
      </c>
      <c r="C9" s="34">
        <v>0.05985275838990334</v>
      </c>
      <c r="E9" s="13" t="s">
        <v>32</v>
      </c>
    </row>
    <row r="10">
      <c r="A10" s="32">
        <v>45992.0</v>
      </c>
      <c r="B10" s="34">
        <v>-0.06822829522216034</v>
      </c>
      <c r="C10" s="34">
        <v>0.007902091163149327</v>
      </c>
      <c r="E10" s="13" t="s">
        <v>33</v>
      </c>
    </row>
    <row r="11">
      <c r="A11" s="32">
        <v>45985.0</v>
      </c>
      <c r="B11" s="34">
        <v>0.0313488639631867</v>
      </c>
      <c r="C11" s="34">
        <v>0.0018343309519210926</v>
      </c>
    </row>
    <row r="12">
      <c r="A12" s="32">
        <v>45978.0</v>
      </c>
      <c r="B12" s="34">
        <v>-0.06212911346880057</v>
      </c>
      <c r="C12" s="34">
        <v>-0.014368636406889346</v>
      </c>
    </row>
    <row r="13">
      <c r="A13" s="32">
        <v>45971.0</v>
      </c>
      <c r="B13" s="34">
        <v>0.007701368125396346</v>
      </c>
      <c r="C13" s="34">
        <v>-0.044636363636363585</v>
      </c>
    </row>
    <row r="14">
      <c r="A14" s="32">
        <v>45964.0</v>
      </c>
      <c r="B14" s="34">
        <v>-0.013584770756993492</v>
      </c>
      <c r="C14" s="34">
        <v>-0.016627927766851403</v>
      </c>
    </row>
    <row r="15">
      <c r="A15" s="32">
        <v>45957.0</v>
      </c>
      <c r="B15" s="34">
        <v>0.022106513199963373</v>
      </c>
      <c r="C15" s="34">
        <v>0.008383665374560367</v>
      </c>
    </row>
    <row r="16">
      <c r="A16" s="32">
        <v>45950.0</v>
      </c>
      <c r="B16" s="34">
        <v>-0.08729364682341167</v>
      </c>
      <c r="C16" s="34">
        <v>0.009096697898662853</v>
      </c>
    </row>
    <row r="17">
      <c r="A17" s="32">
        <v>45943.0</v>
      </c>
      <c r="B17" s="34">
        <v>-0.016965822473567815</v>
      </c>
      <c r="C17" s="34">
        <v>0.013553383735939617</v>
      </c>
    </row>
    <row r="18">
      <c r="A18" s="32">
        <v>45936.0</v>
      </c>
      <c r="B18" s="34">
        <v>0.05792074915459988</v>
      </c>
      <c r="C18" s="34">
        <v>-0.02909318771819891</v>
      </c>
    </row>
    <row r="19">
      <c r="A19" s="32">
        <v>45929.0</v>
      </c>
      <c r="B19" s="34">
        <v>-0.0473319015364283</v>
      </c>
      <c r="C19" s="34">
        <v>-0.00887232721142761</v>
      </c>
    </row>
    <row r="20">
      <c r="A20" s="32">
        <v>45922.0</v>
      </c>
      <c r="B20" s="34">
        <v>-0.013365933170334188</v>
      </c>
      <c r="C20" s="34">
        <v>-0.0025663716814159354</v>
      </c>
    </row>
    <row r="21">
      <c r="A21" s="32">
        <v>45915.0</v>
      </c>
      <c r="B21" s="34">
        <v>0.03248064624705482</v>
      </c>
      <c r="C21" s="34">
        <v>-0.01892689703073458</v>
      </c>
    </row>
    <row r="22">
      <c r="A22" s="32">
        <v>45908.0</v>
      </c>
      <c r="B22" s="34">
        <v>-0.04454092297797063</v>
      </c>
      <c r="C22" s="34">
        <v>-0.01656420765027322</v>
      </c>
    </row>
    <row r="23">
      <c r="A23" s="32">
        <v>45901.0</v>
      </c>
      <c r="B23" s="34">
        <v>0.029465320311206744</v>
      </c>
      <c r="C23" s="34">
        <v>-0.003912229971083425</v>
      </c>
    </row>
    <row r="24">
      <c r="A24" s="32">
        <v>45894.0</v>
      </c>
      <c r="B24" s="34">
        <v>0.002988543914992592</v>
      </c>
      <c r="C24" s="34">
        <v>-0.004065729290191444</v>
      </c>
    </row>
    <row r="25">
      <c r="A25" s="32">
        <v>45887.0</v>
      </c>
      <c r="B25" s="34">
        <v>-0.027685850351118035</v>
      </c>
      <c r="C25" s="34">
        <v>0.030102085332867956</v>
      </c>
    </row>
    <row r="26">
      <c r="A26" s="32">
        <v>45880.0</v>
      </c>
      <c r="B26" s="34">
        <v>0.022532188841201783</v>
      </c>
      <c r="C26" s="34">
        <v>0.02632757231127436</v>
      </c>
    </row>
    <row r="27">
      <c r="A27" s="32">
        <v>45873.0</v>
      </c>
      <c r="B27" s="34">
        <v>0.045744864491627846</v>
      </c>
      <c r="C27" s="34">
        <v>-0.03574820827216996</v>
      </c>
    </row>
    <row r="28">
      <c r="A28" s="32">
        <v>45866.0</v>
      </c>
      <c r="B28" s="34">
        <v>-0.0185514612452351</v>
      </c>
      <c r="C28" s="34">
        <v>-0.04011603812681308</v>
      </c>
    </row>
    <row r="29">
      <c r="A29" s="32">
        <v>45859.0</v>
      </c>
      <c r="B29" s="34">
        <v>-0.023734700628514793</v>
      </c>
      <c r="C29" s="34">
        <v>4.145936981758691E-4</v>
      </c>
    </row>
    <row r="30">
      <c r="A30" s="32">
        <v>45852.0</v>
      </c>
      <c r="B30" s="34">
        <v>-0.028833025459802486</v>
      </c>
      <c r="C30" s="34">
        <v>0.012934654795901057</v>
      </c>
    </row>
    <row r="31">
      <c r="A31" s="32">
        <v>45845.0</v>
      </c>
      <c r="B31" s="34">
        <v>-0.04016342892383595</v>
      </c>
      <c r="C31" s="34">
        <v>-0.03336851506048555</v>
      </c>
    </row>
    <row r="32">
      <c r="A32" s="32">
        <v>45838.0</v>
      </c>
      <c r="B32" s="34">
        <v>-0.019575239966744817</v>
      </c>
      <c r="C32" s="34">
        <v>0.01793388429752074</v>
      </c>
    </row>
    <row r="33">
      <c r="A33" s="32">
        <v>45831.0</v>
      </c>
      <c r="B33" s="34">
        <v>0.07446808510638303</v>
      </c>
      <c r="C33" s="34">
        <v>0.04005501117414467</v>
      </c>
    </row>
    <row r="34">
      <c r="A34" s="32">
        <v>45824.0</v>
      </c>
      <c r="B34" s="34">
        <v>0.015922778648626457</v>
      </c>
      <c r="C34" s="34">
        <v>-0.0026575225032147154</v>
      </c>
    </row>
    <row r="35">
      <c r="A35" s="32">
        <v>45817.0</v>
      </c>
      <c r="B35" s="34">
        <v>-0.023681031010874043</v>
      </c>
      <c r="C35" s="34">
        <v>0.03550821127385717</v>
      </c>
    </row>
    <row r="36">
      <c r="A36" s="32">
        <v>45810.0</v>
      </c>
      <c r="B36" s="34">
        <v>0.028412856196156522</v>
      </c>
      <c r="C36" s="34">
        <v>0.007602862254025178</v>
      </c>
    </row>
    <row r="37">
      <c r="A37" s="42">
        <v>45803.0</v>
      </c>
      <c r="B37" s="34">
        <v>0.018390416736966397</v>
      </c>
      <c r="C37" s="34">
        <v>0.030224843346848607</v>
      </c>
    </row>
    <row r="38">
      <c r="A38" s="42">
        <v>45796.0</v>
      </c>
      <c r="B38" s="34">
        <v>-0.005119597146454047</v>
      </c>
      <c r="C38" s="34">
        <v>-0.03262613656623292</v>
      </c>
    </row>
    <row r="39">
      <c r="A39" s="42">
        <v>45789.0</v>
      </c>
      <c r="B39" s="34">
        <v>0.04499210664795661</v>
      </c>
      <c r="C39" s="34">
        <v>0.07062416491696899</v>
      </c>
    </row>
    <row r="40">
      <c r="A40" s="42">
        <v>45782.0</v>
      </c>
      <c r="B40" s="34">
        <v>-0.014094249891915323</v>
      </c>
      <c r="C40" s="34">
        <v>0.14538696982947097</v>
      </c>
    </row>
    <row r="41">
      <c r="A41" s="32">
        <v>45775.0</v>
      </c>
      <c r="B41" s="34">
        <v>0.049931911030413056</v>
      </c>
      <c r="C41" s="34">
        <v>0.02452682271250972</v>
      </c>
    </row>
    <row r="42">
      <c r="A42" s="32">
        <v>45768.0</v>
      </c>
      <c r="B42" s="34">
        <v>0.13206577595066804</v>
      </c>
      <c r="C42" s="34">
        <v>0.06449690033381028</v>
      </c>
    </row>
    <row r="43">
      <c r="A43" s="32">
        <v>45761.0</v>
      </c>
      <c r="B43" s="34">
        <v>0.05956659043885448</v>
      </c>
      <c r="C43" s="34">
        <v>-9.52834683182413E-4</v>
      </c>
    </row>
    <row r="44">
      <c r="A44" s="32">
        <v>45754.0</v>
      </c>
      <c r="B44" s="34">
        <v>0.0729057132842621</v>
      </c>
      <c r="C44" s="34">
        <v>0.016218833212297223</v>
      </c>
    </row>
    <row r="45">
      <c r="A45" s="32">
        <v>45747.0</v>
      </c>
      <c r="B45" s="34">
        <v>-0.08352071956312235</v>
      </c>
      <c r="C45" s="34">
        <v>-0.14824742268041236</v>
      </c>
    </row>
    <row r="46">
      <c r="A46" s="32">
        <v>45740.0</v>
      </c>
      <c r="B46" s="34">
        <v>-0.027491408934707917</v>
      </c>
      <c r="C46" s="34">
        <v>-0.013927010267357987</v>
      </c>
    </row>
    <row r="47">
      <c r="A47" s="32">
        <v>45733.0</v>
      </c>
      <c r="B47" s="34">
        <v>0.04607843137254908</v>
      </c>
      <c r="C47" s="34">
        <v>0.008302583025830312</v>
      </c>
    </row>
    <row r="48">
      <c r="A48" s="32">
        <v>45726.0</v>
      </c>
      <c r="B48" s="34">
        <v>0.030187408820558925</v>
      </c>
      <c r="C48" s="34">
        <v>-0.06515906477577615</v>
      </c>
    </row>
    <row r="49">
      <c r="A49" s="32">
        <v>45719.0</v>
      </c>
      <c r="B49" s="34">
        <v>-0.09127065062206818</v>
      </c>
      <c r="C49" s="34">
        <v>-0.07285003553660274</v>
      </c>
    </row>
    <row r="50">
      <c r="A50" s="32">
        <v>45712.0</v>
      </c>
      <c r="B50" s="34">
        <v>-0.022527910685805286</v>
      </c>
      <c r="C50" s="34">
        <v>0.04736205452684472</v>
      </c>
    </row>
    <row r="51">
      <c r="A51" s="32">
        <v>45705.0</v>
      </c>
      <c r="B51" s="34">
        <v>-0.05233327035707547</v>
      </c>
      <c r="C51" s="34">
        <v>-0.015572043601722152</v>
      </c>
    </row>
    <row r="52">
      <c r="A52" s="32">
        <v>45698.0</v>
      </c>
      <c r="B52" s="34">
        <v>0.04408718808560996</v>
      </c>
      <c r="C52" s="34">
        <v>-0.004377564979480164</v>
      </c>
    </row>
    <row r="53">
      <c r="A53" s="32"/>
      <c r="B53" s="28"/>
      <c r="C53" s="23"/>
    </row>
    <row r="54">
      <c r="A54" s="32"/>
      <c r="B54" s="23"/>
      <c r="C54" s="23"/>
    </row>
    <row r="55">
      <c r="A55" s="30"/>
      <c r="B55" s="23"/>
      <c r="C55" s="23"/>
    </row>
    <row r="56">
      <c r="A56" s="30"/>
      <c r="B56" s="23"/>
      <c r="C56" s="23"/>
    </row>
    <row r="57">
      <c r="A57" s="30"/>
      <c r="B57" s="23"/>
      <c r="C57" s="23"/>
    </row>
    <row r="58">
      <c r="A58" s="30"/>
      <c r="B58" s="23"/>
      <c r="C58" s="23"/>
    </row>
    <row r="59">
      <c r="A59" s="30"/>
      <c r="B59" s="23"/>
      <c r="C59" s="23"/>
    </row>
    <row r="60">
      <c r="A60" s="30"/>
      <c r="B60" s="23"/>
      <c r="C60" s="23"/>
    </row>
    <row r="61">
      <c r="A61" s="30"/>
      <c r="B61" s="23"/>
      <c r="C61" s="23"/>
    </row>
    <row r="62">
      <c r="A62" s="30"/>
      <c r="B62" s="23"/>
      <c r="C62" s="23"/>
    </row>
    <row r="63">
      <c r="A63" s="30"/>
      <c r="B63" s="23"/>
      <c r="C63" s="23"/>
    </row>
    <row r="64">
      <c r="A64" s="30"/>
      <c r="B64" s="23"/>
      <c r="C64" s="23"/>
    </row>
    <row r="65">
      <c r="A65" s="30"/>
      <c r="B65" s="23"/>
      <c r="C65" s="23"/>
    </row>
    <row r="66">
      <c r="A66" s="30"/>
      <c r="B66" s="23"/>
      <c r="C66" s="23"/>
    </row>
    <row r="67">
      <c r="A67" s="30"/>
      <c r="B67" s="23"/>
      <c r="C67" s="23"/>
    </row>
    <row r="68">
      <c r="A68" s="30"/>
      <c r="B68" s="23"/>
      <c r="C68" s="23"/>
    </row>
    <row r="69">
      <c r="A69" s="30"/>
      <c r="B69" s="23"/>
      <c r="C69" s="23"/>
    </row>
    <row r="70">
      <c r="A70" s="30"/>
      <c r="B70" s="23"/>
      <c r="C70" s="23"/>
    </row>
    <row r="71">
      <c r="A71" s="30"/>
      <c r="B71" s="23"/>
      <c r="C71" s="23"/>
    </row>
    <row r="72">
      <c r="A72" s="30"/>
      <c r="B72" s="23"/>
      <c r="C72" s="23"/>
    </row>
    <row r="73">
      <c r="A73" s="30"/>
      <c r="B73" s="23"/>
      <c r="C73" s="23"/>
    </row>
    <row r="74">
      <c r="A74" s="30"/>
      <c r="B74" s="23"/>
      <c r="C74" s="23"/>
    </row>
    <row r="75">
      <c r="A75" s="30"/>
      <c r="B75" s="23"/>
      <c r="C75" s="23"/>
    </row>
    <row r="76">
      <c r="A76" s="30"/>
      <c r="B76" s="23"/>
      <c r="C76" s="23"/>
    </row>
    <row r="77">
      <c r="A77" s="30"/>
      <c r="B77" s="23"/>
      <c r="C77" s="23"/>
    </row>
    <row r="78">
      <c r="A78" s="30"/>
      <c r="B78" s="23"/>
      <c r="C78" s="23"/>
    </row>
    <row r="79">
      <c r="A79" s="30"/>
      <c r="B79" s="23"/>
      <c r="C79" s="23"/>
    </row>
    <row r="80">
      <c r="A80" s="30"/>
      <c r="B80" s="23"/>
      <c r="C80" s="23"/>
    </row>
    <row r="81">
      <c r="A81" s="30"/>
      <c r="B81" s="23"/>
      <c r="C81" s="23"/>
    </row>
    <row r="82">
      <c r="A82" s="30"/>
      <c r="B82" s="23"/>
      <c r="C82" s="23"/>
    </row>
    <row r="83">
      <c r="A83" s="30"/>
      <c r="B83" s="23"/>
      <c r="C83" s="23"/>
    </row>
    <row r="84">
      <c r="A84" s="30"/>
      <c r="B84" s="23"/>
      <c r="C84" s="23"/>
    </row>
    <row r="85">
      <c r="A85" s="30"/>
      <c r="B85" s="23"/>
      <c r="C85" s="23"/>
    </row>
    <row r="86">
      <c r="A86" s="30"/>
      <c r="B86" s="23"/>
      <c r="C86" s="23"/>
    </row>
    <row r="87">
      <c r="A87" s="30"/>
      <c r="B87" s="23"/>
      <c r="C87" s="23"/>
    </row>
    <row r="88">
      <c r="A88" s="30"/>
      <c r="B88" s="23"/>
      <c r="C88" s="23"/>
    </row>
    <row r="89">
      <c r="A89" s="30"/>
      <c r="B89" s="23"/>
      <c r="C89" s="23"/>
    </row>
    <row r="90">
      <c r="A90" s="30"/>
      <c r="B90" s="23"/>
      <c r="C90" s="23"/>
    </row>
    <row r="91">
      <c r="A91" s="30"/>
      <c r="B91" s="23"/>
      <c r="C91" s="23"/>
    </row>
    <row r="92">
      <c r="A92" s="30"/>
      <c r="B92" s="23"/>
      <c r="C92" s="23"/>
    </row>
    <row r="93">
      <c r="A93" s="30"/>
      <c r="B93" s="23"/>
      <c r="C93" s="23"/>
    </row>
    <row r="94">
      <c r="A94" s="30"/>
      <c r="B94" s="23"/>
      <c r="C94" s="23"/>
    </row>
    <row r="95">
      <c r="A95" s="30"/>
      <c r="B95" s="23"/>
      <c r="C95" s="23"/>
    </row>
    <row r="96">
      <c r="A96" s="30"/>
      <c r="B96" s="23"/>
      <c r="C96" s="23"/>
    </row>
    <row r="97">
      <c r="A97" s="30"/>
      <c r="B97" s="23"/>
      <c r="C97" s="23"/>
    </row>
    <row r="98">
      <c r="A98" s="30"/>
      <c r="B98" s="23"/>
      <c r="C98" s="23"/>
    </row>
    <row r="99">
      <c r="A99" s="30"/>
      <c r="B99" s="23"/>
      <c r="C99" s="23"/>
    </row>
    <row r="100">
      <c r="A100" s="30"/>
      <c r="B100" s="23"/>
      <c r="C100" s="23"/>
    </row>
    <row r="101">
      <c r="A101" s="30"/>
      <c r="B101" s="23"/>
      <c r="C101" s="23"/>
    </row>
    <row r="102">
      <c r="A102" s="30"/>
      <c r="B102" s="23"/>
      <c r="C102" s="23"/>
    </row>
    <row r="103">
      <c r="A103" s="30"/>
      <c r="B103" s="23"/>
      <c r="C103" s="23"/>
    </row>
    <row r="104">
      <c r="A104" s="30"/>
      <c r="B104" s="23"/>
      <c r="C104" s="23"/>
    </row>
    <row r="105">
      <c r="A105" s="30"/>
      <c r="B105" s="23"/>
      <c r="C105" s="23"/>
    </row>
    <row r="106">
      <c r="A106" s="30"/>
      <c r="B106" s="23"/>
      <c r="C106" s="23"/>
    </row>
    <row r="107">
      <c r="A107" s="30"/>
      <c r="B107" s="23"/>
      <c r="C107" s="23"/>
    </row>
    <row r="108">
      <c r="A108" s="30"/>
      <c r="B108" s="23"/>
      <c r="C108" s="23"/>
    </row>
    <row r="109">
      <c r="A109" s="30"/>
      <c r="B109" s="23"/>
      <c r="C109" s="23"/>
    </row>
    <row r="110">
      <c r="A110" s="30"/>
      <c r="B110" s="23"/>
      <c r="C110" s="23"/>
    </row>
    <row r="111">
      <c r="A111" s="30"/>
      <c r="B111" s="23"/>
      <c r="C111" s="23"/>
    </row>
    <row r="112">
      <c r="A112" s="30"/>
      <c r="B112" s="23"/>
      <c r="C112" s="23"/>
    </row>
    <row r="113">
      <c r="A113" s="30"/>
      <c r="B113" s="23"/>
      <c r="C113" s="23"/>
    </row>
    <row r="114">
      <c r="A114" s="30"/>
      <c r="B114" s="23"/>
      <c r="C114" s="23"/>
    </row>
    <row r="115">
      <c r="A115" s="30"/>
      <c r="B115" s="23"/>
      <c r="C115" s="23"/>
    </row>
    <row r="116">
      <c r="A116" s="30"/>
      <c r="B116" s="23"/>
      <c r="C116" s="23"/>
    </row>
    <row r="117">
      <c r="A117" s="30"/>
      <c r="B117" s="23"/>
      <c r="C117" s="23"/>
    </row>
    <row r="118">
      <c r="A118" s="30"/>
      <c r="B118" s="23"/>
      <c r="C118" s="23"/>
    </row>
    <row r="119">
      <c r="A119" s="30"/>
      <c r="B119" s="23"/>
      <c r="C119" s="23"/>
    </row>
    <row r="120">
      <c r="A120" s="30"/>
      <c r="B120" s="23"/>
      <c r="C120" s="23"/>
    </row>
    <row r="121">
      <c r="A121" s="30"/>
      <c r="B121" s="23"/>
      <c r="C121" s="23"/>
    </row>
    <row r="122">
      <c r="A122" s="30"/>
      <c r="B122" s="23"/>
      <c r="C122" s="23"/>
    </row>
    <row r="123">
      <c r="A123" s="30"/>
      <c r="B123" s="23"/>
      <c r="C123" s="23"/>
    </row>
    <row r="124">
      <c r="A124" s="30"/>
      <c r="B124" s="23"/>
      <c r="C124" s="23"/>
    </row>
    <row r="125">
      <c r="A125" s="30"/>
      <c r="B125" s="23"/>
      <c r="C125" s="23"/>
    </row>
    <row r="126">
      <c r="A126" s="30"/>
      <c r="B126" s="23"/>
      <c r="C126" s="23"/>
    </row>
    <row r="127">
      <c r="A127" s="30"/>
      <c r="B127" s="23"/>
      <c r="C127" s="23"/>
    </row>
    <row r="128">
      <c r="A128" s="30"/>
      <c r="B128" s="23"/>
      <c r="C128" s="23"/>
    </row>
    <row r="129">
      <c r="A129" s="30"/>
      <c r="B129" s="23"/>
      <c r="C129" s="23"/>
    </row>
    <row r="130">
      <c r="A130" s="30"/>
      <c r="B130" s="23"/>
      <c r="C130" s="23"/>
    </row>
    <row r="131">
      <c r="A131" s="30"/>
      <c r="B131" s="23"/>
      <c r="C131" s="23"/>
    </row>
    <row r="132">
      <c r="A132" s="30"/>
      <c r="B132" s="23"/>
      <c r="C132" s="23"/>
    </row>
    <row r="133">
      <c r="A133" s="30"/>
      <c r="B133" s="23"/>
      <c r="C133" s="23"/>
    </row>
    <row r="134">
      <c r="A134" s="30"/>
      <c r="B134" s="23"/>
      <c r="C134" s="23"/>
    </row>
    <row r="135">
      <c r="A135" s="30"/>
      <c r="B135" s="23"/>
      <c r="C135" s="23"/>
    </row>
    <row r="136">
      <c r="A136" s="30"/>
      <c r="B136" s="23"/>
      <c r="C136" s="23"/>
    </row>
    <row r="137">
      <c r="A137" s="30"/>
      <c r="B137" s="23"/>
      <c r="C137" s="23"/>
    </row>
    <row r="138">
      <c r="A138" s="30"/>
      <c r="B138" s="23"/>
      <c r="C138" s="23"/>
    </row>
    <row r="139">
      <c r="A139" s="30"/>
      <c r="B139" s="23"/>
      <c r="C139" s="23"/>
    </row>
    <row r="140">
      <c r="A140" s="30"/>
      <c r="B140" s="23"/>
      <c r="C140" s="23"/>
    </row>
    <row r="141">
      <c r="A141" s="30"/>
      <c r="B141" s="23"/>
      <c r="C141" s="23"/>
    </row>
    <row r="142">
      <c r="A142" s="30"/>
      <c r="B142" s="23"/>
      <c r="C142" s="23"/>
    </row>
    <row r="143">
      <c r="A143" s="30"/>
      <c r="B143" s="23"/>
      <c r="C143" s="23"/>
    </row>
    <row r="144">
      <c r="A144" s="30"/>
      <c r="B144" s="23"/>
      <c r="C144" s="23"/>
    </row>
    <row r="145">
      <c r="A145" s="30"/>
      <c r="B145" s="23"/>
      <c r="C145" s="23"/>
    </row>
    <row r="146">
      <c r="A146" s="30"/>
      <c r="B146" s="23"/>
      <c r="C146" s="23"/>
    </row>
    <row r="147">
      <c r="A147" s="30"/>
      <c r="B147" s="23"/>
      <c r="C147" s="23"/>
    </row>
    <row r="148">
      <c r="A148" s="30"/>
      <c r="B148" s="23"/>
      <c r="C148" s="23"/>
    </row>
    <row r="149">
      <c r="A149" s="30"/>
      <c r="B149" s="23"/>
      <c r="C149" s="23"/>
    </row>
    <row r="150">
      <c r="A150" s="30"/>
      <c r="B150" s="23"/>
      <c r="C150" s="23"/>
    </row>
    <row r="151">
      <c r="A151" s="30"/>
      <c r="B151" s="23"/>
      <c r="C151" s="23"/>
    </row>
    <row r="152">
      <c r="A152" s="30"/>
      <c r="B152" s="23"/>
      <c r="C152" s="23"/>
    </row>
    <row r="153">
      <c r="A153" s="30"/>
      <c r="B153" s="23"/>
      <c r="C153" s="23"/>
    </row>
    <row r="154">
      <c r="A154" s="30"/>
      <c r="B154" s="23"/>
      <c r="C154" s="23"/>
    </row>
    <row r="155">
      <c r="A155" s="30"/>
      <c r="B155" s="23"/>
      <c r="C155" s="23"/>
    </row>
    <row r="156">
      <c r="A156" s="30"/>
      <c r="B156" s="23"/>
      <c r="C156" s="23"/>
    </row>
    <row r="157">
      <c r="A157" s="30"/>
      <c r="B157" s="23"/>
      <c r="C157" s="23"/>
    </row>
    <row r="158">
      <c r="A158" s="30"/>
      <c r="B158" s="23"/>
      <c r="C158" s="23"/>
    </row>
    <row r="159">
      <c r="A159" s="30"/>
      <c r="B159" s="23"/>
      <c r="C159" s="23"/>
    </row>
    <row r="160">
      <c r="A160" s="30"/>
      <c r="B160" s="23"/>
      <c r="C160" s="23"/>
    </row>
    <row r="161">
      <c r="A161" s="30"/>
      <c r="B161" s="23"/>
      <c r="C161" s="23"/>
    </row>
    <row r="162">
      <c r="A162" s="30"/>
      <c r="B162" s="23"/>
      <c r="C162" s="23"/>
    </row>
    <row r="163">
      <c r="A163" s="30"/>
      <c r="B163" s="23"/>
      <c r="C163" s="23"/>
    </row>
    <row r="164">
      <c r="A164" s="30"/>
      <c r="B164" s="23"/>
      <c r="C164" s="23"/>
    </row>
    <row r="165">
      <c r="A165" s="30"/>
      <c r="B165" s="23"/>
      <c r="C165" s="23"/>
    </row>
    <row r="166">
      <c r="A166" s="30"/>
      <c r="B166" s="23"/>
      <c r="C166" s="23"/>
    </row>
    <row r="167">
      <c r="A167" s="30"/>
      <c r="B167" s="23"/>
      <c r="C167" s="23"/>
    </row>
    <row r="168">
      <c r="A168" s="30"/>
      <c r="B168" s="23"/>
      <c r="C168" s="23"/>
    </row>
    <row r="169">
      <c r="A169" s="30"/>
      <c r="B169" s="23"/>
      <c r="C169" s="23"/>
    </row>
    <row r="170">
      <c r="A170" s="30"/>
      <c r="B170" s="23"/>
      <c r="C170" s="23"/>
    </row>
    <row r="171">
      <c r="A171" s="30"/>
      <c r="B171" s="23"/>
      <c r="C171" s="23"/>
    </row>
    <row r="172">
      <c r="A172" s="30"/>
      <c r="B172" s="23"/>
      <c r="C172" s="23"/>
    </row>
    <row r="173">
      <c r="A173" s="30"/>
      <c r="B173" s="23"/>
      <c r="C173" s="23"/>
    </row>
    <row r="174">
      <c r="A174" s="30"/>
      <c r="B174" s="23"/>
      <c r="C174" s="23"/>
    </row>
    <row r="175">
      <c r="A175" s="30"/>
      <c r="B175" s="23"/>
      <c r="C175" s="23"/>
    </row>
    <row r="176">
      <c r="A176" s="30"/>
      <c r="B176" s="23"/>
      <c r="C176" s="23"/>
    </row>
    <row r="177">
      <c r="A177" s="30"/>
      <c r="B177" s="23"/>
      <c r="C177" s="23"/>
    </row>
    <row r="178">
      <c r="A178" s="30"/>
      <c r="B178" s="23"/>
      <c r="C178" s="23"/>
    </row>
    <row r="179">
      <c r="A179" s="30"/>
      <c r="B179" s="23"/>
      <c r="C179" s="23"/>
    </row>
    <row r="180">
      <c r="A180" s="30"/>
      <c r="B180" s="23"/>
      <c r="C180" s="23"/>
    </row>
    <row r="181">
      <c r="A181" s="30"/>
      <c r="B181" s="23"/>
      <c r="C181" s="23"/>
    </row>
    <row r="182">
      <c r="A182" s="30"/>
      <c r="B182" s="23"/>
      <c r="C182" s="23"/>
    </row>
    <row r="183">
      <c r="A183" s="30"/>
      <c r="B183" s="23"/>
      <c r="C183" s="23"/>
    </row>
    <row r="184">
      <c r="A184" s="30"/>
      <c r="B184" s="23"/>
      <c r="C184" s="23"/>
    </row>
    <row r="185">
      <c r="A185" s="30"/>
      <c r="B185" s="23"/>
      <c r="C185" s="23"/>
    </row>
    <row r="186">
      <c r="A186" s="30"/>
      <c r="B186" s="23"/>
      <c r="C186" s="23"/>
    </row>
    <row r="187">
      <c r="A187" s="30"/>
      <c r="B187" s="23"/>
      <c r="C187" s="23"/>
    </row>
    <row r="188">
      <c r="A188" s="30"/>
      <c r="B188" s="23"/>
      <c r="C188" s="23"/>
    </row>
    <row r="189">
      <c r="A189" s="30"/>
      <c r="B189" s="23"/>
      <c r="C189" s="23"/>
    </row>
    <row r="190">
      <c r="A190" s="30"/>
      <c r="B190" s="23"/>
      <c r="C190" s="23"/>
    </row>
    <row r="191">
      <c r="A191" s="30"/>
      <c r="B191" s="23"/>
      <c r="C191" s="23"/>
    </row>
    <row r="192">
      <c r="A192" s="30"/>
      <c r="B192" s="23"/>
      <c r="C192" s="23"/>
    </row>
    <row r="193">
      <c r="A193" s="30"/>
      <c r="B193" s="23"/>
      <c r="C193" s="23"/>
    </row>
    <row r="194">
      <c r="A194" s="30"/>
      <c r="B194" s="23"/>
      <c r="C194" s="23"/>
    </row>
    <row r="195">
      <c r="A195" s="30"/>
      <c r="B195" s="23"/>
      <c r="C195" s="23"/>
    </row>
    <row r="196">
      <c r="A196" s="30"/>
      <c r="B196" s="23"/>
      <c r="C196" s="23"/>
    </row>
    <row r="197">
      <c r="A197" s="30"/>
      <c r="B197" s="23"/>
      <c r="C197" s="23"/>
    </row>
    <row r="198">
      <c r="A198" s="30"/>
      <c r="B198" s="23"/>
      <c r="C198" s="23"/>
    </row>
    <row r="199">
      <c r="A199" s="30"/>
      <c r="B199" s="23"/>
      <c r="C199" s="23"/>
    </row>
    <row r="200">
      <c r="A200" s="30"/>
      <c r="B200" s="23"/>
      <c r="C200" s="23"/>
    </row>
    <row r="201">
      <c r="A201" s="30"/>
      <c r="B201" s="23"/>
      <c r="C201" s="23"/>
    </row>
    <row r="202">
      <c r="A202" s="30"/>
      <c r="B202" s="23"/>
      <c r="C202" s="23"/>
    </row>
    <row r="203">
      <c r="A203" s="30"/>
      <c r="B203" s="23"/>
      <c r="C203" s="23"/>
    </row>
    <row r="204">
      <c r="A204" s="30"/>
      <c r="B204" s="23"/>
      <c r="C204" s="23"/>
    </row>
    <row r="205">
      <c r="A205" s="30"/>
      <c r="B205" s="23"/>
      <c r="C205" s="23"/>
    </row>
    <row r="206">
      <c r="A206" s="30"/>
      <c r="B206" s="23"/>
      <c r="C206" s="23"/>
    </row>
    <row r="207">
      <c r="A207" s="30"/>
      <c r="B207" s="23"/>
      <c r="C207" s="23"/>
    </row>
    <row r="208">
      <c r="A208" s="30"/>
      <c r="B208" s="23"/>
      <c r="C208" s="23"/>
    </row>
    <row r="209">
      <c r="A209" s="30"/>
      <c r="B209" s="23"/>
      <c r="C209" s="23"/>
    </row>
    <row r="210">
      <c r="A210" s="30"/>
      <c r="B210" s="23"/>
      <c r="C210" s="23"/>
    </row>
    <row r="211">
      <c r="A211" s="30"/>
      <c r="B211" s="23"/>
      <c r="C211" s="23"/>
    </row>
    <row r="212">
      <c r="A212" s="30"/>
      <c r="B212" s="23"/>
      <c r="C212" s="23"/>
    </row>
    <row r="213">
      <c r="A213" s="30"/>
      <c r="B213" s="23"/>
      <c r="C213" s="23"/>
    </row>
    <row r="214">
      <c r="A214" s="30"/>
      <c r="B214" s="23"/>
      <c r="C214" s="23"/>
    </row>
    <row r="215">
      <c r="A215" s="30"/>
      <c r="B215" s="23"/>
      <c r="C215" s="23"/>
    </row>
    <row r="216">
      <c r="A216" s="30"/>
      <c r="B216" s="23"/>
      <c r="C216" s="23"/>
    </row>
    <row r="217">
      <c r="A217" s="30"/>
      <c r="B217" s="23"/>
      <c r="C217" s="23"/>
    </row>
    <row r="218">
      <c r="A218" s="30"/>
      <c r="B218" s="23"/>
      <c r="C218" s="23"/>
    </row>
    <row r="219">
      <c r="A219" s="30"/>
      <c r="B219" s="23"/>
      <c r="C219" s="23"/>
    </row>
    <row r="220">
      <c r="A220" s="30"/>
      <c r="B220" s="23"/>
      <c r="C220" s="23"/>
    </row>
    <row r="221">
      <c r="A221" s="30"/>
      <c r="B221" s="23"/>
      <c r="C221" s="23"/>
    </row>
    <row r="222">
      <c r="A222" s="30"/>
      <c r="B222" s="23"/>
      <c r="C222" s="23"/>
    </row>
    <row r="223">
      <c r="A223" s="30"/>
      <c r="B223" s="23"/>
      <c r="C223" s="23"/>
    </row>
    <row r="224">
      <c r="A224" s="30"/>
      <c r="B224" s="23"/>
      <c r="C224" s="23"/>
    </row>
    <row r="225">
      <c r="A225" s="30"/>
      <c r="B225" s="23"/>
      <c r="C225" s="23"/>
    </row>
    <row r="226">
      <c r="A226" s="30"/>
      <c r="B226" s="23"/>
      <c r="C226" s="23"/>
    </row>
    <row r="227">
      <c r="A227" s="30"/>
      <c r="B227" s="23"/>
      <c r="C227" s="23"/>
    </row>
    <row r="228">
      <c r="A228" s="30"/>
      <c r="B228" s="23"/>
      <c r="C228" s="23"/>
    </row>
    <row r="229">
      <c r="A229" s="30"/>
      <c r="B229" s="23"/>
      <c r="C229" s="23"/>
    </row>
    <row r="230">
      <c r="A230" s="30"/>
      <c r="B230" s="23"/>
      <c r="C230" s="23"/>
    </row>
    <row r="231">
      <c r="A231" s="30"/>
      <c r="B231" s="23"/>
      <c r="C231" s="23"/>
    </row>
    <row r="232">
      <c r="A232" s="30"/>
      <c r="B232" s="23"/>
      <c r="C232" s="23"/>
    </row>
    <row r="233">
      <c r="A233" s="30"/>
      <c r="B233" s="23"/>
      <c r="C233" s="23"/>
    </row>
    <row r="234">
      <c r="A234" s="30"/>
      <c r="B234" s="23"/>
      <c r="C234" s="23"/>
    </row>
    <row r="235">
      <c r="A235" s="30"/>
      <c r="B235" s="23"/>
      <c r="C235" s="23"/>
    </row>
    <row r="236">
      <c r="A236" s="30"/>
      <c r="B236" s="23"/>
      <c r="C236" s="23"/>
    </row>
    <row r="237">
      <c r="A237" s="30"/>
      <c r="B237" s="23"/>
      <c r="C237" s="23"/>
    </row>
    <row r="238">
      <c r="A238" s="30"/>
      <c r="B238" s="23"/>
      <c r="C238" s="23"/>
    </row>
    <row r="239">
      <c r="A239" s="30"/>
      <c r="B239" s="23"/>
      <c r="C239" s="23"/>
    </row>
    <row r="240">
      <c r="A240" s="30"/>
      <c r="B240" s="23"/>
      <c r="C240" s="23"/>
    </row>
    <row r="241">
      <c r="A241" s="30"/>
      <c r="B241" s="23"/>
      <c r="C241" s="23"/>
    </row>
    <row r="242">
      <c r="A242" s="30"/>
      <c r="B242" s="23"/>
      <c r="C242" s="23"/>
    </row>
    <row r="243">
      <c r="A243" s="30"/>
      <c r="B243" s="23"/>
      <c r="C243" s="23"/>
    </row>
    <row r="244">
      <c r="A244" s="30"/>
      <c r="B244" s="23"/>
      <c r="C244" s="23"/>
    </row>
    <row r="245">
      <c r="A245" s="30"/>
      <c r="B245" s="23"/>
      <c r="C245" s="23"/>
    </row>
    <row r="246">
      <c r="A246" s="30"/>
      <c r="B246" s="23"/>
      <c r="C246" s="23"/>
    </row>
    <row r="247">
      <c r="A247" s="30"/>
      <c r="B247" s="23"/>
      <c r="C247" s="23"/>
    </row>
    <row r="248">
      <c r="A248" s="30"/>
      <c r="B248" s="23"/>
      <c r="C248" s="23"/>
    </row>
    <row r="249">
      <c r="A249" s="30"/>
      <c r="B249" s="23"/>
      <c r="C249" s="23"/>
    </row>
    <row r="250">
      <c r="A250" s="30"/>
      <c r="B250" s="23"/>
      <c r="C250" s="23"/>
    </row>
    <row r="251">
      <c r="A251" s="30"/>
      <c r="B251" s="23"/>
      <c r="C251" s="23"/>
    </row>
    <row r="252">
      <c r="A252" s="30"/>
      <c r="B252" s="23"/>
      <c r="C252" s="23"/>
    </row>
    <row r="253">
      <c r="A253" s="30"/>
      <c r="B253" s="23"/>
      <c r="C253" s="23"/>
    </row>
    <row r="254">
      <c r="A254" s="30"/>
      <c r="B254" s="23"/>
      <c r="C254" s="23"/>
    </row>
    <row r="255">
      <c r="A255" s="30"/>
      <c r="B255" s="23"/>
      <c r="C255" s="23"/>
    </row>
    <row r="256">
      <c r="A256" s="30"/>
      <c r="B256" s="23"/>
      <c r="C256" s="23"/>
    </row>
    <row r="257">
      <c r="A257" s="30"/>
      <c r="B257" s="23"/>
      <c r="C257" s="23"/>
    </row>
    <row r="258">
      <c r="A258" s="30"/>
      <c r="B258" s="23"/>
      <c r="C258" s="23"/>
    </row>
    <row r="259">
      <c r="A259" s="30"/>
      <c r="B259" s="23"/>
      <c r="C259" s="23"/>
    </row>
    <row r="260">
      <c r="A260" s="30"/>
      <c r="B260" s="23"/>
      <c r="C260" s="23"/>
    </row>
    <row r="261">
      <c r="A261" s="30"/>
      <c r="B261" s="23"/>
      <c r="C261" s="23"/>
    </row>
    <row r="262">
      <c r="A262" s="30"/>
      <c r="B262" s="23"/>
      <c r="C262" s="23"/>
    </row>
    <row r="263">
      <c r="A263" s="30"/>
      <c r="B263" s="23"/>
      <c r="C263" s="23"/>
    </row>
    <row r="264">
      <c r="A264" s="30"/>
      <c r="B264" s="23"/>
      <c r="C264" s="23"/>
    </row>
    <row r="265">
      <c r="A265" s="30"/>
      <c r="B265" s="23"/>
      <c r="C265" s="23"/>
    </row>
    <row r="266">
      <c r="A266" s="30"/>
      <c r="B266" s="23"/>
      <c r="C266" s="23"/>
    </row>
    <row r="267">
      <c r="A267" s="30"/>
      <c r="B267" s="23"/>
      <c r="C267" s="23"/>
    </row>
    <row r="268">
      <c r="A268" s="30"/>
      <c r="B268" s="23"/>
      <c r="C268" s="23"/>
    </row>
    <row r="269">
      <c r="A269" s="30"/>
      <c r="B269" s="23"/>
      <c r="C269" s="23"/>
    </row>
    <row r="270">
      <c r="A270" s="30"/>
      <c r="B270" s="23"/>
      <c r="C270" s="23"/>
    </row>
    <row r="271">
      <c r="A271" s="30"/>
      <c r="B271" s="23"/>
      <c r="C271" s="23"/>
    </row>
    <row r="272">
      <c r="A272" s="30"/>
      <c r="B272" s="23"/>
      <c r="C272" s="23"/>
    </row>
    <row r="273">
      <c r="A273" s="30"/>
      <c r="B273" s="23"/>
      <c r="C273" s="23"/>
    </row>
    <row r="274">
      <c r="A274" s="30"/>
      <c r="B274" s="23"/>
      <c r="C274" s="23"/>
    </row>
    <row r="275">
      <c r="A275" s="30"/>
      <c r="B275" s="23"/>
      <c r="C275" s="23"/>
    </row>
    <row r="276">
      <c r="A276" s="30"/>
      <c r="B276" s="23"/>
      <c r="C276" s="23"/>
    </row>
    <row r="277">
      <c r="A277" s="30"/>
      <c r="B277" s="23"/>
      <c r="C277" s="23"/>
    </row>
    <row r="278">
      <c r="A278" s="30"/>
      <c r="B278" s="23"/>
      <c r="C278" s="23"/>
    </row>
    <row r="279">
      <c r="A279" s="30"/>
      <c r="B279" s="23"/>
      <c r="C279" s="23"/>
    </row>
    <row r="280">
      <c r="A280" s="30"/>
      <c r="B280" s="23"/>
      <c r="C280" s="23"/>
    </row>
    <row r="281">
      <c r="A281" s="30"/>
      <c r="B281" s="23"/>
      <c r="C281" s="23"/>
    </row>
    <row r="282">
      <c r="A282" s="30"/>
      <c r="B282" s="23"/>
      <c r="C282" s="23"/>
    </row>
    <row r="283">
      <c r="A283" s="30"/>
      <c r="B283" s="23"/>
      <c r="C283" s="23"/>
    </row>
    <row r="284">
      <c r="A284" s="30"/>
      <c r="B284" s="23"/>
      <c r="C284" s="23"/>
    </row>
    <row r="285">
      <c r="A285" s="30"/>
      <c r="B285" s="23"/>
      <c r="C285" s="23"/>
    </row>
    <row r="286">
      <c r="A286" s="30"/>
      <c r="B286" s="23"/>
      <c r="C286" s="23"/>
    </row>
    <row r="287">
      <c r="A287" s="30"/>
      <c r="B287" s="23"/>
      <c r="C287" s="23"/>
    </row>
    <row r="288">
      <c r="A288" s="30"/>
      <c r="B288" s="23"/>
      <c r="C288" s="23"/>
    </row>
    <row r="289">
      <c r="A289" s="30"/>
      <c r="B289" s="23"/>
      <c r="C289" s="23"/>
    </row>
    <row r="290">
      <c r="A290" s="30"/>
      <c r="B290" s="23"/>
      <c r="C290" s="23"/>
    </row>
    <row r="291">
      <c r="A291" s="30"/>
      <c r="B291" s="23"/>
      <c r="C291" s="23"/>
    </row>
    <row r="292">
      <c r="A292" s="30"/>
      <c r="B292" s="23"/>
      <c r="C292" s="23"/>
    </row>
    <row r="293">
      <c r="A293" s="30"/>
      <c r="B293" s="23"/>
      <c r="C293" s="23"/>
    </row>
    <row r="294">
      <c r="A294" s="30"/>
      <c r="B294" s="23"/>
      <c r="C294" s="23"/>
    </row>
    <row r="295">
      <c r="A295" s="30"/>
      <c r="B295" s="23"/>
      <c r="C295" s="23"/>
    </row>
    <row r="296">
      <c r="A296" s="30"/>
      <c r="B296" s="23"/>
      <c r="C296" s="23"/>
    </row>
    <row r="297">
      <c r="A297" s="30"/>
      <c r="B297" s="23"/>
      <c r="C297" s="23"/>
    </row>
    <row r="298">
      <c r="A298" s="30"/>
      <c r="B298" s="23"/>
      <c r="C298" s="23"/>
    </row>
    <row r="299">
      <c r="A299" s="30"/>
      <c r="B299" s="23"/>
      <c r="C299" s="23"/>
    </row>
    <row r="300">
      <c r="A300" s="30"/>
      <c r="B300" s="23"/>
      <c r="C300" s="23"/>
    </row>
    <row r="301">
      <c r="A301" s="30"/>
      <c r="B301" s="23"/>
      <c r="C301" s="23"/>
    </row>
    <row r="302">
      <c r="A302" s="30"/>
      <c r="B302" s="23"/>
      <c r="C302" s="23"/>
    </row>
    <row r="303">
      <c r="A303" s="30"/>
      <c r="B303" s="23"/>
      <c r="C303" s="23"/>
    </row>
    <row r="304">
      <c r="A304" s="30"/>
      <c r="B304" s="23"/>
      <c r="C304" s="23"/>
    </row>
    <row r="305">
      <c r="A305" s="30"/>
      <c r="B305" s="23"/>
      <c r="C305" s="23"/>
    </row>
    <row r="306">
      <c r="A306" s="30"/>
      <c r="B306" s="23"/>
      <c r="C306" s="23"/>
    </row>
    <row r="307">
      <c r="A307" s="30"/>
      <c r="B307" s="23"/>
      <c r="C307" s="23"/>
    </row>
    <row r="308">
      <c r="A308" s="30"/>
      <c r="B308" s="23"/>
      <c r="C308" s="23"/>
    </row>
    <row r="309">
      <c r="A309" s="30"/>
      <c r="B309" s="23"/>
      <c r="C309" s="23"/>
    </row>
    <row r="310">
      <c r="A310" s="30"/>
      <c r="B310" s="23"/>
      <c r="C310" s="23"/>
    </row>
    <row r="311">
      <c r="A311" s="30"/>
      <c r="B311" s="23"/>
      <c r="C311" s="23"/>
    </row>
    <row r="312">
      <c r="A312" s="30"/>
      <c r="B312" s="23"/>
      <c r="C312" s="23"/>
    </row>
    <row r="313">
      <c r="A313" s="30"/>
      <c r="B313" s="23"/>
      <c r="C313" s="23"/>
    </row>
    <row r="314">
      <c r="A314" s="30"/>
      <c r="B314" s="23"/>
      <c r="C314" s="23"/>
    </row>
    <row r="315">
      <c r="A315" s="30"/>
      <c r="B315" s="23"/>
      <c r="C315" s="23"/>
    </row>
    <row r="316">
      <c r="A316" s="30"/>
      <c r="B316" s="23"/>
      <c r="C316" s="23"/>
    </row>
    <row r="317">
      <c r="A317" s="30"/>
      <c r="B317" s="23"/>
      <c r="C317" s="23"/>
    </row>
    <row r="318">
      <c r="A318" s="30"/>
      <c r="B318" s="23"/>
      <c r="C318" s="23"/>
    </row>
    <row r="319">
      <c r="A319" s="30"/>
      <c r="B319" s="23"/>
      <c r="C319" s="23"/>
    </row>
    <row r="320">
      <c r="A320" s="30"/>
      <c r="B320" s="23"/>
      <c r="C320" s="23"/>
    </row>
    <row r="321">
      <c r="A321" s="30"/>
      <c r="B321" s="23"/>
      <c r="C321" s="23"/>
    </row>
    <row r="322">
      <c r="A322" s="30"/>
      <c r="B322" s="23"/>
      <c r="C322" s="23"/>
    </row>
    <row r="323">
      <c r="A323" s="30"/>
      <c r="B323" s="23"/>
      <c r="C323" s="23"/>
    </row>
    <row r="324">
      <c r="A324" s="30"/>
      <c r="B324" s="23"/>
      <c r="C324" s="23"/>
    </row>
    <row r="325">
      <c r="A325" s="30"/>
      <c r="B325" s="23"/>
      <c r="C325" s="23"/>
    </row>
    <row r="326">
      <c r="A326" s="30"/>
      <c r="B326" s="23"/>
      <c r="C326" s="23"/>
    </row>
    <row r="327">
      <c r="A327" s="30"/>
      <c r="B327" s="23"/>
      <c r="C327" s="23"/>
    </row>
    <row r="328">
      <c r="A328" s="30"/>
      <c r="B328" s="23"/>
      <c r="C328" s="23"/>
    </row>
    <row r="329">
      <c r="A329" s="30"/>
      <c r="B329" s="23"/>
      <c r="C329" s="23"/>
    </row>
    <row r="330">
      <c r="A330" s="30"/>
      <c r="B330" s="23"/>
      <c r="C330" s="23"/>
    </row>
    <row r="331">
      <c r="A331" s="30"/>
      <c r="B331" s="23"/>
      <c r="C331" s="23"/>
    </row>
    <row r="332">
      <c r="A332" s="30"/>
      <c r="B332" s="23"/>
      <c r="C332" s="23"/>
    </row>
    <row r="333">
      <c r="A333" s="30"/>
      <c r="B333" s="23"/>
      <c r="C333" s="23"/>
    </row>
    <row r="334">
      <c r="A334" s="30"/>
      <c r="B334" s="23"/>
      <c r="C334" s="23"/>
    </row>
    <row r="335">
      <c r="A335" s="30"/>
      <c r="B335" s="23"/>
      <c r="C335" s="23"/>
    </row>
    <row r="336">
      <c r="A336" s="30"/>
      <c r="B336" s="23"/>
      <c r="C336" s="23"/>
    </row>
    <row r="337">
      <c r="A337" s="30"/>
      <c r="B337" s="23"/>
      <c r="C337" s="23"/>
    </row>
    <row r="338">
      <c r="A338" s="30"/>
      <c r="B338" s="23"/>
      <c r="C338" s="23"/>
    </row>
    <row r="339">
      <c r="A339" s="30"/>
      <c r="B339" s="23"/>
      <c r="C339" s="23"/>
    </row>
    <row r="340">
      <c r="A340" s="30"/>
      <c r="B340" s="23"/>
      <c r="C340" s="23"/>
    </row>
    <row r="341">
      <c r="A341" s="30"/>
      <c r="B341" s="23"/>
      <c r="C341" s="23"/>
    </row>
    <row r="342">
      <c r="A342" s="30"/>
      <c r="B342" s="23"/>
      <c r="C342" s="23"/>
    </row>
    <row r="343">
      <c r="A343" s="30"/>
      <c r="B343" s="23"/>
      <c r="C343" s="23"/>
    </row>
    <row r="344">
      <c r="A344" s="30"/>
      <c r="B344" s="23"/>
      <c r="C344" s="23"/>
    </row>
    <row r="345">
      <c r="A345" s="30"/>
      <c r="B345" s="23"/>
      <c r="C345" s="23"/>
    </row>
    <row r="346">
      <c r="A346" s="30"/>
      <c r="B346" s="23"/>
      <c r="C346" s="23"/>
    </row>
    <row r="347">
      <c r="A347" s="30"/>
      <c r="B347" s="23"/>
      <c r="C347" s="23"/>
    </row>
    <row r="348">
      <c r="A348" s="30"/>
      <c r="B348" s="23"/>
      <c r="C348" s="23"/>
    </row>
    <row r="349">
      <c r="A349" s="30"/>
      <c r="B349" s="23"/>
      <c r="C349" s="23"/>
    </row>
    <row r="350">
      <c r="A350" s="30"/>
      <c r="B350" s="23"/>
      <c r="C350" s="23"/>
    </row>
    <row r="351">
      <c r="A351" s="30"/>
      <c r="B351" s="23"/>
      <c r="C351" s="23"/>
    </row>
    <row r="352">
      <c r="A352" s="30"/>
      <c r="B352" s="23"/>
      <c r="C352" s="23"/>
    </row>
    <row r="353">
      <c r="A353" s="30"/>
      <c r="B353" s="23"/>
      <c r="C353" s="23"/>
    </row>
    <row r="354">
      <c r="A354" s="30"/>
      <c r="B354" s="23"/>
      <c r="C354" s="23"/>
    </row>
    <row r="355">
      <c r="A355" s="30"/>
      <c r="B355" s="23"/>
      <c r="C355" s="23"/>
    </row>
    <row r="356">
      <c r="A356" s="30"/>
      <c r="B356" s="23"/>
      <c r="C356" s="23"/>
    </row>
    <row r="357">
      <c r="A357" s="30"/>
      <c r="B357" s="23"/>
      <c r="C357" s="23"/>
    </row>
    <row r="358">
      <c r="A358" s="30"/>
      <c r="B358" s="23"/>
      <c r="C358" s="23"/>
    </row>
    <row r="359">
      <c r="A359" s="30"/>
      <c r="B359" s="23"/>
      <c r="C359" s="23"/>
    </row>
    <row r="360">
      <c r="A360" s="30"/>
      <c r="B360" s="23"/>
      <c r="C360" s="23"/>
    </row>
    <row r="361">
      <c r="A361" s="30"/>
      <c r="B361" s="23"/>
      <c r="C361" s="23"/>
    </row>
    <row r="362">
      <c r="A362" s="30"/>
      <c r="B362" s="23"/>
      <c r="C362" s="23"/>
    </row>
    <row r="363">
      <c r="A363" s="30"/>
      <c r="B363" s="23"/>
      <c r="C363" s="23"/>
    </row>
    <row r="364">
      <c r="A364" s="30"/>
      <c r="B364" s="23"/>
      <c r="C364" s="23"/>
    </row>
    <row r="365">
      <c r="A365" s="30"/>
      <c r="B365" s="23"/>
      <c r="C365" s="23"/>
    </row>
    <row r="366">
      <c r="A366" s="30"/>
      <c r="B366" s="23"/>
      <c r="C366" s="23"/>
    </row>
    <row r="367">
      <c r="A367" s="30"/>
      <c r="B367" s="23"/>
      <c r="C367" s="23"/>
    </row>
    <row r="368">
      <c r="A368" s="30"/>
      <c r="B368" s="23"/>
      <c r="C368" s="23"/>
    </row>
    <row r="369">
      <c r="A369" s="30"/>
      <c r="B369" s="23"/>
      <c r="C369" s="23"/>
    </row>
    <row r="370">
      <c r="A370" s="30"/>
      <c r="B370" s="23"/>
      <c r="C370" s="23"/>
    </row>
    <row r="371">
      <c r="A371" s="30"/>
      <c r="B371" s="23"/>
      <c r="C371" s="23"/>
    </row>
    <row r="372">
      <c r="A372" s="30"/>
      <c r="B372" s="23"/>
      <c r="C372" s="23"/>
    </row>
    <row r="373">
      <c r="A373" s="30"/>
      <c r="B373" s="23"/>
      <c r="C373" s="23"/>
    </row>
    <row r="374">
      <c r="A374" s="30"/>
      <c r="B374" s="23"/>
      <c r="C374" s="23"/>
    </row>
    <row r="375">
      <c r="A375" s="30"/>
      <c r="B375" s="23"/>
      <c r="C375" s="23"/>
    </row>
    <row r="376">
      <c r="A376" s="30"/>
      <c r="B376" s="23"/>
      <c r="C376" s="23"/>
    </row>
    <row r="377">
      <c r="A377" s="30"/>
      <c r="B377" s="23"/>
      <c r="C377" s="23"/>
    </row>
    <row r="378">
      <c r="A378" s="30"/>
      <c r="B378" s="23"/>
      <c r="C378" s="23"/>
    </row>
    <row r="379">
      <c r="A379" s="30"/>
      <c r="B379" s="23"/>
      <c r="C379" s="23"/>
    </row>
    <row r="380">
      <c r="A380" s="30"/>
      <c r="B380" s="23"/>
      <c r="C380" s="23"/>
    </row>
    <row r="381">
      <c r="A381" s="30"/>
      <c r="B381" s="23"/>
      <c r="C381" s="23"/>
    </row>
    <row r="382">
      <c r="A382" s="30"/>
      <c r="B382" s="23"/>
      <c r="C382" s="23"/>
    </row>
    <row r="383">
      <c r="A383" s="30"/>
      <c r="B383" s="23"/>
      <c r="C383" s="23"/>
    </row>
    <row r="384">
      <c r="A384" s="30"/>
      <c r="B384" s="23"/>
      <c r="C384" s="23"/>
    </row>
    <row r="385">
      <c r="A385" s="30"/>
      <c r="B385" s="23"/>
      <c r="C385" s="23"/>
    </row>
    <row r="386">
      <c r="A386" s="30"/>
      <c r="B386" s="23"/>
      <c r="C386" s="23"/>
    </row>
    <row r="387">
      <c r="A387" s="30"/>
      <c r="B387" s="23"/>
      <c r="C387" s="23"/>
    </row>
    <row r="388">
      <c r="A388" s="30"/>
      <c r="B388" s="23"/>
      <c r="C388" s="23"/>
    </row>
    <row r="389">
      <c r="A389" s="30"/>
      <c r="B389" s="23"/>
      <c r="C389" s="23"/>
    </row>
    <row r="390">
      <c r="A390" s="30"/>
      <c r="B390" s="23"/>
      <c r="C390" s="23"/>
    </row>
    <row r="391">
      <c r="A391" s="30"/>
      <c r="B391" s="23"/>
      <c r="C391" s="23"/>
    </row>
    <row r="392">
      <c r="A392" s="30"/>
      <c r="B392" s="23"/>
      <c r="C392" s="23"/>
    </row>
    <row r="393">
      <c r="A393" s="30"/>
      <c r="B393" s="23"/>
      <c r="C393" s="23"/>
    </row>
    <row r="394">
      <c r="A394" s="30"/>
      <c r="B394" s="23"/>
      <c r="C394" s="23"/>
    </row>
    <row r="395">
      <c r="A395" s="30"/>
      <c r="B395" s="23"/>
      <c r="C395" s="23"/>
    </row>
    <row r="396">
      <c r="A396" s="30"/>
      <c r="B396" s="23"/>
      <c r="C396" s="23"/>
    </row>
    <row r="397">
      <c r="A397" s="30"/>
      <c r="B397" s="23"/>
      <c r="C397" s="23"/>
    </row>
    <row r="398">
      <c r="A398" s="30"/>
      <c r="B398" s="23"/>
      <c r="C398" s="23"/>
    </row>
    <row r="399">
      <c r="A399" s="30"/>
      <c r="B399" s="23"/>
      <c r="C399" s="23"/>
    </row>
    <row r="400">
      <c r="A400" s="30"/>
      <c r="B400" s="23"/>
      <c r="C400" s="23"/>
    </row>
    <row r="401">
      <c r="A401" s="30"/>
      <c r="B401" s="23"/>
      <c r="C401" s="23"/>
    </row>
    <row r="402">
      <c r="A402" s="30"/>
      <c r="B402" s="23"/>
      <c r="C402" s="23"/>
    </row>
    <row r="403">
      <c r="A403" s="30"/>
      <c r="B403" s="23"/>
      <c r="C403" s="23"/>
    </row>
    <row r="404">
      <c r="A404" s="30"/>
      <c r="B404" s="23"/>
      <c r="C404" s="23"/>
    </row>
    <row r="405">
      <c r="A405" s="30"/>
      <c r="B405" s="23"/>
      <c r="C405" s="23"/>
    </row>
    <row r="406">
      <c r="A406" s="30"/>
      <c r="B406" s="23"/>
      <c r="C406" s="23"/>
    </row>
    <row r="407">
      <c r="A407" s="30"/>
      <c r="B407" s="23"/>
      <c r="C407" s="23"/>
    </row>
    <row r="408">
      <c r="A408" s="30"/>
      <c r="B408" s="23"/>
      <c r="C408" s="23"/>
    </row>
    <row r="409">
      <c r="A409" s="30"/>
      <c r="B409" s="23"/>
      <c r="C409" s="23"/>
    </row>
    <row r="410">
      <c r="A410" s="30"/>
      <c r="B410" s="23"/>
      <c r="C410" s="23"/>
    </row>
    <row r="411">
      <c r="A411" s="30"/>
      <c r="B411" s="23"/>
      <c r="C411" s="23"/>
    </row>
    <row r="412">
      <c r="A412" s="30"/>
      <c r="B412" s="23"/>
      <c r="C412" s="23"/>
    </row>
    <row r="413">
      <c r="A413" s="30"/>
      <c r="B413" s="23"/>
      <c r="C413" s="23"/>
    </row>
    <row r="414">
      <c r="A414" s="30"/>
      <c r="B414" s="23"/>
      <c r="C414" s="23"/>
    </row>
    <row r="415">
      <c r="A415" s="30"/>
      <c r="B415" s="23"/>
      <c r="C415" s="23"/>
    </row>
    <row r="416">
      <c r="A416" s="30"/>
      <c r="B416" s="23"/>
      <c r="C416" s="23"/>
    </row>
    <row r="417">
      <c r="A417" s="30"/>
      <c r="B417" s="23"/>
      <c r="C417" s="23"/>
    </row>
    <row r="418">
      <c r="A418" s="30"/>
      <c r="B418" s="23"/>
      <c r="C418" s="23"/>
    </row>
    <row r="419">
      <c r="A419" s="30"/>
      <c r="B419" s="23"/>
      <c r="C419" s="23"/>
    </row>
    <row r="420">
      <c r="A420" s="30"/>
      <c r="B420" s="23"/>
      <c r="C420" s="23"/>
    </row>
    <row r="421">
      <c r="A421" s="30"/>
      <c r="B421" s="23"/>
      <c r="C421" s="23"/>
    </row>
    <row r="422">
      <c r="A422" s="30"/>
      <c r="B422" s="23"/>
      <c r="C422" s="23"/>
    </row>
    <row r="423">
      <c r="A423" s="30"/>
      <c r="B423" s="23"/>
      <c r="C423" s="23"/>
    </row>
    <row r="424">
      <c r="A424" s="30"/>
      <c r="B424" s="23"/>
      <c r="C424" s="23"/>
    </row>
    <row r="425">
      <c r="A425" s="30"/>
      <c r="B425" s="23"/>
      <c r="C425" s="23"/>
    </row>
    <row r="426">
      <c r="A426" s="30"/>
      <c r="B426" s="23"/>
      <c r="C426" s="23"/>
    </row>
    <row r="427">
      <c r="A427" s="30"/>
      <c r="B427" s="23"/>
      <c r="C427" s="23"/>
    </row>
    <row r="428">
      <c r="A428" s="30"/>
      <c r="B428" s="23"/>
      <c r="C428" s="23"/>
    </row>
    <row r="429">
      <c r="A429" s="30"/>
      <c r="B429" s="23"/>
      <c r="C429" s="23"/>
    </row>
    <row r="430">
      <c r="A430" s="30"/>
      <c r="B430" s="23"/>
      <c r="C430" s="23"/>
    </row>
    <row r="431">
      <c r="A431" s="30"/>
      <c r="B431" s="23"/>
      <c r="C431" s="23"/>
    </row>
    <row r="432">
      <c r="A432" s="30"/>
      <c r="B432" s="23"/>
      <c r="C432" s="23"/>
    </row>
    <row r="433">
      <c r="A433" s="30"/>
      <c r="B433" s="23"/>
      <c r="C433" s="23"/>
    </row>
    <row r="434">
      <c r="A434" s="30"/>
      <c r="B434" s="23"/>
      <c r="C434" s="23"/>
    </row>
    <row r="435">
      <c r="A435" s="30"/>
      <c r="B435" s="23"/>
      <c r="C435" s="23"/>
    </row>
    <row r="436">
      <c r="A436" s="30"/>
      <c r="B436" s="23"/>
      <c r="C436" s="23"/>
    </row>
    <row r="437">
      <c r="A437" s="30"/>
      <c r="B437" s="23"/>
      <c r="C437" s="23"/>
    </row>
    <row r="438">
      <c r="A438" s="30"/>
      <c r="B438" s="23"/>
      <c r="C438" s="23"/>
    </row>
    <row r="439">
      <c r="A439" s="30"/>
      <c r="B439" s="23"/>
      <c r="C439" s="23"/>
    </row>
    <row r="440">
      <c r="A440" s="30"/>
      <c r="B440" s="23"/>
      <c r="C440" s="23"/>
    </row>
    <row r="441">
      <c r="A441" s="30"/>
      <c r="B441" s="23"/>
      <c r="C441" s="23"/>
    </row>
    <row r="442">
      <c r="A442" s="30"/>
      <c r="B442" s="23"/>
      <c r="C442" s="23"/>
    </row>
    <row r="443">
      <c r="A443" s="30"/>
      <c r="B443" s="23"/>
      <c r="C443" s="23"/>
    </row>
    <row r="444">
      <c r="A444" s="30"/>
      <c r="B444" s="23"/>
      <c r="C444" s="23"/>
    </row>
    <row r="445">
      <c r="A445" s="30"/>
      <c r="B445" s="23"/>
      <c r="C445" s="23"/>
    </row>
    <row r="446">
      <c r="A446" s="30"/>
      <c r="B446" s="23"/>
      <c r="C446" s="23"/>
    </row>
    <row r="447">
      <c r="A447" s="30"/>
      <c r="B447" s="23"/>
      <c r="C447" s="23"/>
    </row>
    <row r="448">
      <c r="A448" s="30"/>
      <c r="B448" s="23"/>
      <c r="C448" s="23"/>
    </row>
    <row r="449">
      <c r="A449" s="30"/>
      <c r="B449" s="23"/>
      <c r="C449" s="23"/>
    </row>
    <row r="450">
      <c r="A450" s="30"/>
      <c r="B450" s="23"/>
      <c r="C450" s="23"/>
    </row>
    <row r="451">
      <c r="A451" s="30"/>
      <c r="B451" s="23"/>
      <c r="C451" s="23"/>
    </row>
    <row r="452">
      <c r="A452" s="30"/>
      <c r="B452" s="23"/>
      <c r="C452" s="23"/>
    </row>
    <row r="453">
      <c r="A453" s="30"/>
      <c r="B453" s="23"/>
      <c r="C453" s="23"/>
    </row>
    <row r="454">
      <c r="A454" s="30"/>
      <c r="B454" s="23"/>
      <c r="C454" s="23"/>
    </row>
    <row r="455">
      <c r="A455" s="30"/>
      <c r="B455" s="23"/>
      <c r="C455" s="23"/>
    </row>
    <row r="456">
      <c r="A456" s="30"/>
      <c r="B456" s="23"/>
      <c r="C456" s="23"/>
    </row>
    <row r="457">
      <c r="A457" s="30"/>
      <c r="B457" s="23"/>
      <c r="C457" s="23"/>
    </row>
    <row r="458">
      <c r="A458" s="30"/>
      <c r="B458" s="23"/>
      <c r="C458" s="23"/>
    </row>
    <row r="459">
      <c r="A459" s="30"/>
      <c r="B459" s="23"/>
      <c r="C459" s="23"/>
    </row>
    <row r="460">
      <c r="A460" s="30"/>
      <c r="B460" s="23"/>
      <c r="C460" s="23"/>
    </row>
    <row r="461">
      <c r="A461" s="30"/>
      <c r="B461" s="23"/>
      <c r="C461" s="23"/>
    </row>
    <row r="462">
      <c r="A462" s="30"/>
      <c r="B462" s="23"/>
      <c r="C462" s="23"/>
    </row>
    <row r="463">
      <c r="A463" s="30"/>
      <c r="B463" s="23"/>
      <c r="C463" s="23"/>
    </row>
    <row r="464">
      <c r="A464" s="30"/>
      <c r="B464" s="23"/>
      <c r="C464" s="23"/>
    </row>
    <row r="465">
      <c r="A465" s="30"/>
      <c r="B465" s="23"/>
      <c r="C465" s="23"/>
    </row>
    <row r="466">
      <c r="A466" s="30"/>
      <c r="B466" s="23"/>
      <c r="C466" s="23"/>
    </row>
    <row r="467">
      <c r="A467" s="30"/>
      <c r="B467" s="23"/>
      <c r="C467" s="23"/>
    </row>
    <row r="468">
      <c r="A468" s="30"/>
      <c r="B468" s="23"/>
      <c r="C468" s="23"/>
    </row>
    <row r="469">
      <c r="A469" s="30"/>
      <c r="B469" s="23"/>
      <c r="C469" s="23"/>
    </row>
    <row r="470">
      <c r="A470" s="30"/>
      <c r="B470" s="23"/>
      <c r="C470" s="23"/>
    </row>
    <row r="471">
      <c r="A471" s="30"/>
      <c r="B471" s="23"/>
      <c r="C471" s="23"/>
    </row>
    <row r="472">
      <c r="A472" s="30"/>
      <c r="B472" s="23"/>
      <c r="C472" s="23"/>
    </row>
    <row r="473">
      <c r="A473" s="30"/>
      <c r="B473" s="23"/>
      <c r="C473" s="23"/>
    </row>
    <row r="474">
      <c r="A474" s="30"/>
      <c r="B474" s="23"/>
      <c r="C474" s="23"/>
    </row>
    <row r="475">
      <c r="A475" s="30"/>
      <c r="B475" s="23"/>
      <c r="C475" s="23"/>
    </row>
    <row r="476">
      <c r="A476" s="30"/>
      <c r="B476" s="23"/>
      <c r="C476" s="23"/>
    </row>
    <row r="477">
      <c r="A477" s="30"/>
      <c r="B477" s="23"/>
      <c r="C477" s="23"/>
    </row>
    <row r="478">
      <c r="A478" s="30"/>
      <c r="B478" s="23"/>
      <c r="C478" s="23"/>
    </row>
    <row r="479">
      <c r="A479" s="30"/>
      <c r="B479" s="23"/>
      <c r="C479" s="23"/>
    </row>
    <row r="480">
      <c r="A480" s="30"/>
      <c r="B480" s="23"/>
      <c r="C480" s="23"/>
    </row>
    <row r="481">
      <c r="A481" s="30"/>
      <c r="B481" s="23"/>
      <c r="C481" s="23"/>
    </row>
    <row r="482">
      <c r="A482" s="30"/>
      <c r="B482" s="23"/>
      <c r="C482" s="23"/>
    </row>
    <row r="483">
      <c r="A483" s="30"/>
      <c r="B483" s="23"/>
      <c r="C483" s="23"/>
    </row>
    <row r="484">
      <c r="A484" s="30"/>
      <c r="B484" s="23"/>
      <c r="C484" s="23"/>
    </row>
    <row r="485">
      <c r="A485" s="30"/>
      <c r="B485" s="23"/>
      <c r="C485" s="23"/>
    </row>
    <row r="486">
      <c r="A486" s="30"/>
      <c r="B486" s="23"/>
      <c r="C486" s="23"/>
    </row>
    <row r="487">
      <c r="A487" s="30"/>
      <c r="B487" s="23"/>
      <c r="C487" s="23"/>
    </row>
    <row r="488">
      <c r="A488" s="30"/>
      <c r="B488" s="23"/>
      <c r="C488" s="23"/>
    </row>
    <row r="489">
      <c r="A489" s="30"/>
      <c r="B489" s="23"/>
      <c r="C489" s="23"/>
    </row>
    <row r="490">
      <c r="A490" s="30"/>
      <c r="B490" s="23"/>
      <c r="C490" s="23"/>
    </row>
    <row r="491">
      <c r="A491" s="30"/>
      <c r="B491" s="23"/>
      <c r="C491" s="23"/>
    </row>
    <row r="492">
      <c r="A492" s="30"/>
      <c r="B492" s="23"/>
      <c r="C492" s="23"/>
    </row>
    <row r="493">
      <c r="A493" s="30"/>
      <c r="B493" s="23"/>
      <c r="C493" s="23"/>
    </row>
    <row r="494">
      <c r="A494" s="30"/>
      <c r="B494" s="23"/>
      <c r="C494" s="23"/>
    </row>
    <row r="495">
      <c r="A495" s="30"/>
      <c r="B495" s="23"/>
      <c r="C495" s="23"/>
    </row>
    <row r="496">
      <c r="A496" s="30"/>
      <c r="B496" s="23"/>
      <c r="C496" s="23"/>
    </row>
    <row r="497">
      <c r="A497" s="30"/>
      <c r="B497" s="23"/>
      <c r="C497" s="23"/>
    </row>
    <row r="498">
      <c r="A498" s="30"/>
      <c r="B498" s="23"/>
      <c r="C498" s="23"/>
    </row>
    <row r="499">
      <c r="A499" s="30"/>
      <c r="B499" s="23"/>
      <c r="C499" s="23"/>
    </row>
    <row r="500">
      <c r="A500" s="30"/>
      <c r="B500" s="23"/>
      <c r="C500" s="23"/>
    </row>
    <row r="501">
      <c r="A501" s="30"/>
      <c r="B501" s="23"/>
      <c r="C501" s="23"/>
    </row>
    <row r="502">
      <c r="A502" s="30"/>
      <c r="B502" s="23"/>
      <c r="C502" s="23"/>
    </row>
    <row r="503">
      <c r="A503" s="30"/>
      <c r="B503" s="23"/>
      <c r="C503" s="23"/>
    </row>
    <row r="504">
      <c r="A504" s="30"/>
      <c r="B504" s="23"/>
      <c r="C504" s="23"/>
    </row>
    <row r="505">
      <c r="A505" s="30"/>
      <c r="B505" s="23"/>
      <c r="C505" s="23"/>
    </row>
    <row r="506">
      <c r="A506" s="30"/>
      <c r="B506" s="23"/>
      <c r="C506" s="23"/>
    </row>
    <row r="507">
      <c r="A507" s="30"/>
      <c r="B507" s="23"/>
      <c r="C507" s="23"/>
    </row>
    <row r="508">
      <c r="A508" s="30"/>
      <c r="B508" s="23"/>
      <c r="C508" s="23"/>
    </row>
    <row r="509">
      <c r="A509" s="30"/>
      <c r="B509" s="23"/>
      <c r="C509" s="23"/>
    </row>
    <row r="510">
      <c r="A510" s="30"/>
      <c r="B510" s="23"/>
      <c r="C510" s="23"/>
    </row>
    <row r="511">
      <c r="A511" s="30"/>
      <c r="B511" s="23"/>
      <c r="C511" s="23"/>
    </row>
    <row r="512">
      <c r="A512" s="30"/>
      <c r="B512" s="23"/>
      <c r="C512" s="23"/>
    </row>
    <row r="513">
      <c r="A513" s="30"/>
      <c r="B513" s="23"/>
      <c r="C513" s="23"/>
    </row>
    <row r="514">
      <c r="A514" s="30"/>
      <c r="B514" s="23"/>
      <c r="C514" s="23"/>
    </row>
    <row r="515">
      <c r="A515" s="30"/>
      <c r="B515" s="23"/>
      <c r="C515" s="23"/>
    </row>
    <row r="516">
      <c r="A516" s="30"/>
      <c r="B516" s="23"/>
      <c r="C516" s="23"/>
    </row>
    <row r="517">
      <c r="A517" s="30"/>
      <c r="B517" s="23"/>
      <c r="C517" s="23"/>
    </row>
    <row r="518">
      <c r="A518" s="30"/>
      <c r="B518" s="23"/>
      <c r="C518" s="23"/>
    </row>
    <row r="519">
      <c r="A519" s="30"/>
      <c r="B519" s="23"/>
      <c r="C519" s="23"/>
    </row>
    <row r="520">
      <c r="A520" s="30"/>
      <c r="B520" s="23"/>
      <c r="C520" s="23"/>
    </row>
    <row r="521">
      <c r="A521" s="30"/>
      <c r="B521" s="23"/>
      <c r="C521" s="23"/>
    </row>
    <row r="522">
      <c r="A522" s="30"/>
      <c r="B522" s="23"/>
      <c r="C522" s="23"/>
    </row>
    <row r="523">
      <c r="A523" s="30"/>
      <c r="B523" s="23"/>
      <c r="C523" s="23"/>
    </row>
    <row r="524">
      <c r="A524" s="30"/>
      <c r="B524" s="23"/>
      <c r="C524" s="23"/>
    </row>
    <row r="525">
      <c r="A525" s="30"/>
      <c r="B525" s="23"/>
      <c r="C525" s="23"/>
    </row>
    <row r="526">
      <c r="A526" s="30"/>
      <c r="B526" s="23"/>
      <c r="C526" s="23"/>
    </row>
    <row r="527">
      <c r="A527" s="30"/>
      <c r="B527" s="23"/>
      <c r="C527" s="23"/>
    </row>
    <row r="528">
      <c r="A528" s="30"/>
      <c r="B528" s="23"/>
      <c r="C528" s="23"/>
    </row>
    <row r="529">
      <c r="A529" s="30"/>
      <c r="B529" s="23"/>
      <c r="C529" s="23"/>
    </row>
    <row r="530">
      <c r="A530" s="30"/>
      <c r="B530" s="23"/>
      <c r="C530" s="23"/>
    </row>
    <row r="531">
      <c r="A531" s="30"/>
      <c r="B531" s="23"/>
      <c r="C531" s="23"/>
    </row>
    <row r="532">
      <c r="A532" s="30"/>
      <c r="B532" s="23"/>
      <c r="C532" s="23"/>
    </row>
    <row r="533">
      <c r="A533" s="30"/>
      <c r="B533" s="23"/>
      <c r="C533" s="23"/>
    </row>
    <row r="534">
      <c r="A534" s="30"/>
      <c r="B534" s="23"/>
      <c r="C534" s="23"/>
    </row>
    <row r="535">
      <c r="A535" s="30"/>
      <c r="B535" s="23"/>
      <c r="C535" s="23"/>
    </row>
    <row r="536">
      <c r="A536" s="30"/>
      <c r="B536" s="23"/>
      <c r="C536" s="23"/>
    </row>
    <row r="537">
      <c r="A537" s="30"/>
      <c r="B537" s="23"/>
      <c r="C537" s="23"/>
    </row>
    <row r="538">
      <c r="A538" s="30"/>
      <c r="B538" s="23"/>
      <c r="C538" s="23"/>
    </row>
    <row r="539">
      <c r="A539" s="30"/>
      <c r="B539" s="23"/>
      <c r="C539" s="23"/>
    </row>
    <row r="540">
      <c r="A540" s="30"/>
      <c r="B540" s="23"/>
      <c r="C540" s="23"/>
    </row>
    <row r="541">
      <c r="A541" s="30"/>
      <c r="B541" s="23"/>
      <c r="C541" s="23"/>
    </row>
    <row r="542">
      <c r="A542" s="30"/>
      <c r="B542" s="23"/>
      <c r="C542" s="23"/>
    </row>
    <row r="543">
      <c r="A543" s="30"/>
      <c r="B543" s="23"/>
      <c r="C543" s="23"/>
    </row>
    <row r="544">
      <c r="A544" s="30"/>
      <c r="B544" s="23"/>
      <c r="C544" s="23"/>
    </row>
    <row r="545">
      <c r="A545" s="30"/>
      <c r="B545" s="23"/>
      <c r="C545" s="23"/>
    </row>
    <row r="546">
      <c r="A546" s="30"/>
      <c r="B546" s="23"/>
      <c r="C546" s="23"/>
    </row>
    <row r="547">
      <c r="A547" s="30"/>
      <c r="B547" s="23"/>
      <c r="C547" s="23"/>
    </row>
    <row r="548">
      <c r="A548" s="30"/>
      <c r="B548" s="23"/>
      <c r="C548" s="23"/>
    </row>
    <row r="549">
      <c r="A549" s="30"/>
      <c r="B549" s="23"/>
      <c r="C549" s="23"/>
    </row>
    <row r="550">
      <c r="A550" s="30"/>
      <c r="B550" s="23"/>
      <c r="C550" s="23"/>
    </row>
    <row r="551">
      <c r="A551" s="30"/>
      <c r="B551" s="23"/>
      <c r="C551" s="23"/>
    </row>
    <row r="552">
      <c r="A552" s="30"/>
      <c r="B552" s="23"/>
      <c r="C552" s="23"/>
    </row>
    <row r="553">
      <c r="A553" s="30"/>
      <c r="B553" s="23"/>
      <c r="C553" s="23"/>
    </row>
    <row r="554">
      <c r="A554" s="30"/>
      <c r="B554" s="23"/>
      <c r="C554" s="23"/>
    </row>
    <row r="555">
      <c r="A555" s="30"/>
      <c r="B555" s="23"/>
      <c r="C555" s="23"/>
    </row>
    <row r="556">
      <c r="A556" s="30"/>
      <c r="B556" s="23"/>
      <c r="C556" s="23"/>
    </row>
    <row r="557">
      <c r="A557" s="30"/>
      <c r="B557" s="23"/>
      <c r="C557" s="23"/>
    </row>
    <row r="558">
      <c r="A558" s="30"/>
      <c r="B558" s="23"/>
      <c r="C558" s="23"/>
    </row>
    <row r="559">
      <c r="A559" s="30"/>
      <c r="B559" s="23"/>
      <c r="C559" s="23"/>
    </row>
    <row r="560">
      <c r="A560" s="30"/>
      <c r="B560" s="23"/>
      <c r="C560" s="23"/>
    </row>
    <row r="561">
      <c r="A561" s="30"/>
      <c r="B561" s="23"/>
      <c r="C561" s="23"/>
    </row>
    <row r="562">
      <c r="A562" s="30"/>
      <c r="B562" s="23"/>
      <c r="C562" s="23"/>
    </row>
    <row r="563">
      <c r="A563" s="30"/>
      <c r="B563" s="23"/>
      <c r="C563" s="23"/>
    </row>
    <row r="564">
      <c r="A564" s="30"/>
      <c r="B564" s="23"/>
      <c r="C564" s="23"/>
    </row>
    <row r="565">
      <c r="A565" s="30"/>
      <c r="B565" s="23"/>
      <c r="C565" s="23"/>
    </row>
    <row r="566">
      <c r="A566" s="30"/>
      <c r="B566" s="23"/>
      <c r="C566" s="23"/>
    </row>
    <row r="567">
      <c r="A567" s="30"/>
      <c r="B567" s="23"/>
      <c r="C567" s="23"/>
    </row>
    <row r="568">
      <c r="A568" s="30"/>
      <c r="B568" s="23"/>
      <c r="C568" s="23"/>
    </row>
    <row r="569">
      <c r="A569" s="30"/>
      <c r="B569" s="23"/>
      <c r="C569" s="23"/>
    </row>
    <row r="570">
      <c r="A570" s="30"/>
      <c r="B570" s="23"/>
      <c r="C570" s="23"/>
    </row>
    <row r="571">
      <c r="A571" s="30"/>
      <c r="B571" s="23"/>
      <c r="C571" s="23"/>
    </row>
    <row r="572">
      <c r="A572" s="30"/>
      <c r="B572" s="23"/>
      <c r="C572" s="23"/>
    </row>
    <row r="573">
      <c r="A573" s="30"/>
      <c r="B573" s="23"/>
      <c r="C573" s="23"/>
    </row>
    <row r="574">
      <c r="A574" s="30"/>
      <c r="B574" s="23"/>
      <c r="C574" s="23"/>
    </row>
    <row r="575">
      <c r="A575" s="30"/>
      <c r="B575" s="23"/>
      <c r="C575" s="23"/>
    </row>
    <row r="576">
      <c r="A576" s="30"/>
      <c r="B576" s="23"/>
      <c r="C576" s="23"/>
    </row>
    <row r="577">
      <c r="A577" s="30"/>
      <c r="B577" s="23"/>
      <c r="C577" s="23"/>
    </row>
    <row r="578">
      <c r="A578" s="30"/>
      <c r="B578" s="23"/>
      <c r="C578" s="23"/>
    </row>
    <row r="579">
      <c r="A579" s="30"/>
      <c r="B579" s="23"/>
      <c r="C579" s="23"/>
    </row>
    <row r="580">
      <c r="A580" s="30"/>
      <c r="B580" s="23"/>
      <c r="C580" s="23"/>
    </row>
    <row r="581">
      <c r="A581" s="30"/>
      <c r="B581" s="23"/>
      <c r="C581" s="23"/>
    </row>
    <row r="582">
      <c r="A582" s="30"/>
      <c r="B582" s="23"/>
      <c r="C582" s="23"/>
    </row>
    <row r="583">
      <c r="A583" s="30"/>
      <c r="B583" s="23"/>
      <c r="C583" s="23"/>
    </row>
    <row r="584">
      <c r="A584" s="30"/>
      <c r="B584" s="23"/>
      <c r="C584" s="23"/>
    </row>
    <row r="585">
      <c r="A585" s="30"/>
      <c r="B585" s="23"/>
      <c r="C585" s="23"/>
    </row>
    <row r="586">
      <c r="A586" s="30"/>
      <c r="B586" s="23"/>
      <c r="C586" s="23"/>
    </row>
    <row r="587">
      <c r="A587" s="30"/>
      <c r="B587" s="23"/>
      <c r="C587" s="23"/>
    </row>
    <row r="588">
      <c r="A588" s="30"/>
      <c r="B588" s="23"/>
      <c r="C588" s="23"/>
    </row>
    <row r="589">
      <c r="A589" s="30"/>
      <c r="B589" s="23"/>
      <c r="C589" s="23"/>
    </row>
    <row r="590">
      <c r="A590" s="30"/>
      <c r="B590" s="23"/>
      <c r="C590" s="23"/>
    </row>
    <row r="591">
      <c r="A591" s="30"/>
      <c r="B591" s="23"/>
      <c r="C591" s="23"/>
    </row>
    <row r="592">
      <c r="A592" s="30"/>
      <c r="B592" s="23"/>
      <c r="C592" s="23"/>
    </row>
    <row r="593">
      <c r="A593" s="30"/>
      <c r="B593" s="23"/>
      <c r="C593" s="23"/>
    </row>
    <row r="594">
      <c r="A594" s="30"/>
      <c r="B594" s="23"/>
      <c r="C594" s="23"/>
    </row>
    <row r="595">
      <c r="A595" s="30"/>
      <c r="B595" s="23"/>
      <c r="C595" s="23"/>
    </row>
    <row r="596">
      <c r="A596" s="30"/>
      <c r="B596" s="23"/>
      <c r="C596" s="23"/>
    </row>
    <row r="597">
      <c r="A597" s="30"/>
      <c r="B597" s="23"/>
      <c r="C597" s="23"/>
    </row>
    <row r="598">
      <c r="A598" s="30"/>
      <c r="B598" s="23"/>
      <c r="C598" s="23"/>
    </row>
    <row r="599">
      <c r="A599" s="30"/>
      <c r="B599" s="23"/>
      <c r="C599" s="23"/>
    </row>
    <row r="600">
      <c r="A600" s="30"/>
      <c r="B600" s="23"/>
      <c r="C600" s="23"/>
    </row>
    <row r="601">
      <c r="A601" s="30"/>
      <c r="B601" s="23"/>
      <c r="C601" s="23"/>
    </row>
    <row r="602">
      <c r="A602" s="30"/>
      <c r="B602" s="23"/>
      <c r="C602" s="23"/>
    </row>
    <row r="603">
      <c r="A603" s="30"/>
      <c r="B603" s="23"/>
      <c r="C603" s="23"/>
    </row>
    <row r="604">
      <c r="A604" s="30"/>
      <c r="B604" s="23"/>
      <c r="C604" s="23"/>
    </row>
    <row r="605">
      <c r="A605" s="30"/>
      <c r="B605" s="23"/>
      <c r="C605" s="23"/>
    </row>
    <row r="606">
      <c r="A606" s="30"/>
      <c r="B606" s="23"/>
      <c r="C606" s="23"/>
    </row>
    <row r="607">
      <c r="A607" s="30"/>
      <c r="B607" s="23"/>
      <c r="C607" s="23"/>
    </row>
    <row r="608">
      <c r="A608" s="30"/>
      <c r="B608" s="23"/>
      <c r="C608" s="23"/>
    </row>
    <row r="609">
      <c r="A609" s="30"/>
      <c r="B609" s="23"/>
      <c r="C609" s="23"/>
    </row>
    <row r="610">
      <c r="A610" s="30"/>
      <c r="B610" s="23"/>
      <c r="C610" s="23"/>
    </row>
    <row r="611">
      <c r="A611" s="30"/>
      <c r="B611" s="23"/>
      <c r="C611" s="23"/>
    </row>
    <row r="612">
      <c r="A612" s="30"/>
      <c r="B612" s="23"/>
      <c r="C612" s="23"/>
    </row>
    <row r="613">
      <c r="A613" s="30"/>
      <c r="B613" s="23"/>
      <c r="C613" s="23"/>
    </row>
    <row r="614">
      <c r="A614" s="30"/>
      <c r="B614" s="23"/>
      <c r="C614" s="23"/>
    </row>
    <row r="615">
      <c r="A615" s="30"/>
      <c r="B615" s="23"/>
      <c r="C615" s="23"/>
    </row>
    <row r="616">
      <c r="A616" s="30"/>
      <c r="B616" s="23"/>
      <c r="C616" s="23"/>
    </row>
    <row r="617">
      <c r="A617" s="30"/>
      <c r="B617" s="23"/>
      <c r="C617" s="23"/>
    </row>
    <row r="618">
      <c r="A618" s="30"/>
      <c r="B618" s="23"/>
      <c r="C618" s="23"/>
    </row>
    <row r="619">
      <c r="A619" s="30"/>
      <c r="B619" s="23"/>
      <c r="C619" s="23"/>
    </row>
    <row r="620">
      <c r="A620" s="30"/>
      <c r="B620" s="23"/>
      <c r="C620" s="23"/>
    </row>
    <row r="621">
      <c r="A621" s="30"/>
      <c r="B621" s="23"/>
      <c r="C621" s="23"/>
    </row>
    <row r="622">
      <c r="A622" s="30"/>
      <c r="B622" s="23"/>
      <c r="C622" s="23"/>
    </row>
    <row r="623">
      <c r="A623" s="30"/>
      <c r="B623" s="23"/>
      <c r="C623" s="23"/>
    </row>
    <row r="624">
      <c r="A624" s="30"/>
      <c r="B624" s="23"/>
      <c r="C624" s="23"/>
    </row>
    <row r="625">
      <c r="A625" s="30"/>
      <c r="B625" s="23"/>
      <c r="C625" s="23"/>
    </row>
    <row r="626">
      <c r="A626" s="30"/>
      <c r="B626" s="23"/>
      <c r="C626" s="23"/>
    </row>
    <row r="627">
      <c r="A627" s="30"/>
      <c r="B627" s="23"/>
      <c r="C627" s="23"/>
    </row>
    <row r="628">
      <c r="A628" s="30"/>
      <c r="B628" s="23"/>
      <c r="C628" s="23"/>
    </row>
    <row r="629">
      <c r="A629" s="30"/>
      <c r="B629" s="23"/>
      <c r="C629" s="23"/>
    </row>
    <row r="630">
      <c r="A630" s="30"/>
      <c r="B630" s="23"/>
      <c r="C630" s="23"/>
    </row>
    <row r="631">
      <c r="A631" s="30"/>
      <c r="B631" s="23"/>
      <c r="C631" s="23"/>
    </row>
    <row r="632">
      <c r="A632" s="30"/>
      <c r="B632" s="23"/>
      <c r="C632" s="23"/>
    </row>
    <row r="633">
      <c r="A633" s="30"/>
      <c r="B633" s="23"/>
      <c r="C633" s="23"/>
    </row>
    <row r="634">
      <c r="A634" s="30"/>
      <c r="B634" s="23"/>
      <c r="C634" s="23"/>
    </row>
    <row r="635">
      <c r="A635" s="30"/>
      <c r="B635" s="23"/>
      <c r="C635" s="23"/>
    </row>
    <row r="636">
      <c r="A636" s="30"/>
      <c r="B636" s="23"/>
      <c r="C636" s="23"/>
    </row>
    <row r="637">
      <c r="A637" s="30"/>
      <c r="B637" s="23"/>
      <c r="C637" s="23"/>
    </row>
    <row r="638">
      <c r="A638" s="30"/>
      <c r="B638" s="23"/>
      <c r="C638" s="23"/>
    </row>
    <row r="639">
      <c r="A639" s="30"/>
      <c r="B639" s="23"/>
      <c r="C639" s="23"/>
    </row>
    <row r="640">
      <c r="A640" s="30"/>
      <c r="B640" s="23"/>
      <c r="C640" s="23"/>
    </row>
    <row r="641">
      <c r="A641" s="30"/>
      <c r="B641" s="23"/>
      <c r="C641" s="23"/>
    </row>
    <row r="642">
      <c r="A642" s="30"/>
      <c r="B642" s="23"/>
      <c r="C642" s="23"/>
    </row>
    <row r="643">
      <c r="A643" s="30"/>
      <c r="B643" s="23"/>
      <c r="C643" s="23"/>
    </row>
    <row r="644">
      <c r="A644" s="30"/>
      <c r="B644" s="23"/>
      <c r="C644" s="23"/>
    </row>
    <row r="645">
      <c r="A645" s="30"/>
      <c r="B645" s="23"/>
      <c r="C645" s="23"/>
    </row>
    <row r="646">
      <c r="A646" s="30"/>
      <c r="B646" s="23"/>
      <c r="C646" s="23"/>
    </row>
    <row r="647">
      <c r="A647" s="30"/>
      <c r="B647" s="23"/>
      <c r="C647" s="23"/>
    </row>
    <row r="648">
      <c r="A648" s="30"/>
      <c r="B648" s="23"/>
      <c r="C648" s="23"/>
    </row>
    <row r="649">
      <c r="A649" s="30"/>
      <c r="B649" s="23"/>
      <c r="C649" s="23"/>
    </row>
    <row r="650">
      <c r="A650" s="30"/>
      <c r="B650" s="23"/>
      <c r="C650" s="23"/>
    </row>
    <row r="651">
      <c r="A651" s="30"/>
      <c r="B651" s="23"/>
      <c r="C651" s="23"/>
    </row>
    <row r="652">
      <c r="A652" s="30"/>
      <c r="B652" s="23"/>
      <c r="C652" s="23"/>
    </row>
    <row r="653">
      <c r="A653" s="30"/>
      <c r="B653" s="23"/>
      <c r="C653" s="23"/>
    </row>
    <row r="654">
      <c r="A654" s="30"/>
      <c r="B654" s="23"/>
      <c r="C654" s="23"/>
    </row>
    <row r="655">
      <c r="A655" s="30"/>
      <c r="B655" s="23"/>
      <c r="C655" s="23"/>
    </row>
    <row r="656">
      <c r="A656" s="30"/>
      <c r="B656" s="23"/>
      <c r="C656" s="23"/>
    </row>
    <row r="657">
      <c r="A657" s="30"/>
      <c r="B657" s="23"/>
      <c r="C657" s="23"/>
    </row>
    <row r="658">
      <c r="A658" s="30"/>
      <c r="B658" s="23"/>
      <c r="C658" s="23"/>
    </row>
    <row r="659">
      <c r="A659" s="30"/>
      <c r="B659" s="23"/>
      <c r="C659" s="23"/>
    </row>
    <row r="660">
      <c r="A660" s="30"/>
      <c r="B660" s="23"/>
      <c r="C660" s="23"/>
    </row>
    <row r="661">
      <c r="A661" s="30"/>
      <c r="B661" s="23"/>
      <c r="C661" s="23"/>
    </row>
    <row r="662">
      <c r="A662" s="30"/>
      <c r="B662" s="23"/>
      <c r="C662" s="23"/>
    </row>
    <row r="663">
      <c r="A663" s="30"/>
      <c r="B663" s="23"/>
      <c r="C663" s="23"/>
    </row>
    <row r="664">
      <c r="A664" s="30"/>
      <c r="B664" s="23"/>
      <c r="C664" s="23"/>
    </row>
    <row r="665">
      <c r="A665" s="30"/>
      <c r="B665" s="23"/>
      <c r="C665" s="23"/>
    </row>
    <row r="666">
      <c r="A666" s="30"/>
      <c r="B666" s="23"/>
      <c r="C666" s="23"/>
    </row>
    <row r="667">
      <c r="A667" s="30"/>
      <c r="B667" s="23"/>
      <c r="C667" s="23"/>
    </row>
    <row r="668">
      <c r="A668" s="30"/>
      <c r="B668" s="23"/>
      <c r="C668" s="23"/>
    </row>
    <row r="669">
      <c r="A669" s="30"/>
      <c r="B669" s="23"/>
      <c r="C669" s="23"/>
    </row>
    <row r="670">
      <c r="A670" s="30"/>
      <c r="B670" s="23"/>
      <c r="C670" s="23"/>
    </row>
    <row r="671">
      <c r="A671" s="30"/>
      <c r="B671" s="23"/>
      <c r="C671" s="23"/>
    </row>
    <row r="672">
      <c r="A672" s="30"/>
      <c r="B672" s="23"/>
      <c r="C672" s="23"/>
    </row>
    <row r="673">
      <c r="A673" s="30"/>
      <c r="B673" s="23"/>
      <c r="C673" s="23"/>
    </row>
    <row r="674">
      <c r="A674" s="30"/>
      <c r="B674" s="23"/>
      <c r="C674" s="23"/>
    </row>
    <row r="675">
      <c r="A675" s="30"/>
      <c r="B675" s="23"/>
      <c r="C675" s="23"/>
    </row>
    <row r="676">
      <c r="A676" s="30"/>
      <c r="B676" s="23"/>
      <c r="C676" s="23"/>
    </row>
    <row r="677">
      <c r="A677" s="30"/>
      <c r="B677" s="23"/>
      <c r="C677" s="23"/>
    </row>
    <row r="678">
      <c r="A678" s="30"/>
      <c r="B678" s="23"/>
      <c r="C678" s="23"/>
    </row>
    <row r="679">
      <c r="A679" s="30"/>
      <c r="B679" s="23"/>
      <c r="C679" s="23"/>
    </row>
    <row r="680">
      <c r="A680" s="30"/>
      <c r="B680" s="23"/>
      <c r="C680" s="23"/>
    </row>
    <row r="681">
      <c r="A681" s="30"/>
      <c r="B681" s="23"/>
      <c r="C681" s="23"/>
    </row>
    <row r="682">
      <c r="A682" s="30"/>
      <c r="B682" s="23"/>
      <c r="C682" s="23"/>
    </row>
    <row r="683">
      <c r="A683" s="30"/>
      <c r="B683" s="23"/>
      <c r="C683" s="23"/>
    </row>
    <row r="684">
      <c r="A684" s="30"/>
      <c r="B684" s="23"/>
      <c r="C684" s="23"/>
    </row>
    <row r="685">
      <c r="A685" s="30"/>
      <c r="B685" s="23"/>
      <c r="C685" s="23"/>
    </row>
    <row r="686">
      <c r="A686" s="30"/>
      <c r="B686" s="23"/>
      <c r="C686" s="23"/>
    </row>
    <row r="687">
      <c r="A687" s="30"/>
      <c r="B687" s="23"/>
      <c r="C687" s="23"/>
    </row>
    <row r="688">
      <c r="A688" s="30"/>
      <c r="B688" s="23"/>
      <c r="C688" s="23"/>
    </row>
    <row r="689">
      <c r="A689" s="30"/>
      <c r="B689" s="23"/>
      <c r="C689" s="23"/>
    </row>
    <row r="690">
      <c r="A690" s="30"/>
      <c r="B690" s="23"/>
      <c r="C690" s="23"/>
    </row>
    <row r="691">
      <c r="A691" s="30"/>
      <c r="B691" s="23"/>
      <c r="C691" s="23"/>
    </row>
    <row r="692">
      <c r="A692" s="30"/>
      <c r="B692" s="23"/>
      <c r="C692" s="23"/>
    </row>
    <row r="693">
      <c r="A693" s="30"/>
      <c r="B693" s="23"/>
      <c r="C693" s="23"/>
    </row>
    <row r="694">
      <c r="A694" s="30"/>
      <c r="B694" s="23"/>
      <c r="C694" s="23"/>
    </row>
    <row r="695">
      <c r="A695" s="30"/>
      <c r="B695" s="23"/>
      <c r="C695" s="23"/>
    </row>
    <row r="696">
      <c r="A696" s="30"/>
      <c r="B696" s="23"/>
      <c r="C696" s="23"/>
    </row>
    <row r="697">
      <c r="A697" s="30"/>
      <c r="B697" s="23"/>
      <c r="C697" s="23"/>
    </row>
    <row r="698">
      <c r="A698" s="30"/>
      <c r="B698" s="23"/>
      <c r="C698" s="23"/>
    </row>
    <row r="699">
      <c r="A699" s="30"/>
      <c r="B699" s="23"/>
      <c r="C699" s="23"/>
    </row>
    <row r="700">
      <c r="A700" s="30"/>
      <c r="B700" s="23"/>
      <c r="C700" s="23"/>
    </row>
    <row r="701">
      <c r="A701" s="30"/>
      <c r="B701" s="23"/>
      <c r="C701" s="23"/>
    </row>
    <row r="702">
      <c r="A702" s="30"/>
      <c r="B702" s="23"/>
      <c r="C702" s="23"/>
    </row>
    <row r="703">
      <c r="A703" s="30"/>
      <c r="B703" s="23"/>
      <c r="C703" s="23"/>
    </row>
    <row r="704">
      <c r="A704" s="30"/>
      <c r="B704" s="23"/>
      <c r="C704" s="23"/>
    </row>
    <row r="705">
      <c r="A705" s="30"/>
      <c r="B705" s="23"/>
      <c r="C705" s="23"/>
    </row>
    <row r="706">
      <c r="A706" s="30"/>
      <c r="B706" s="23"/>
      <c r="C706" s="23"/>
    </row>
    <row r="707">
      <c r="A707" s="30"/>
      <c r="B707" s="23"/>
      <c r="C707" s="23"/>
    </row>
    <row r="708">
      <c r="A708" s="30"/>
      <c r="B708" s="23"/>
      <c r="C708" s="23"/>
    </row>
    <row r="709">
      <c r="A709" s="30"/>
      <c r="B709" s="23"/>
      <c r="C709" s="23"/>
    </row>
    <row r="710">
      <c r="A710" s="30"/>
      <c r="B710" s="23"/>
      <c r="C710" s="23"/>
    </row>
    <row r="711">
      <c r="A711" s="30"/>
      <c r="B711" s="23"/>
      <c r="C711" s="23"/>
    </row>
    <row r="712">
      <c r="A712" s="30"/>
      <c r="B712" s="23"/>
      <c r="C712" s="23"/>
    </row>
    <row r="713">
      <c r="A713" s="30"/>
      <c r="B713" s="23"/>
      <c r="C713" s="23"/>
    </row>
    <row r="714">
      <c r="A714" s="30"/>
      <c r="B714" s="23"/>
      <c r="C714" s="23"/>
    </row>
    <row r="715">
      <c r="A715" s="30"/>
      <c r="B715" s="23"/>
      <c r="C715" s="23"/>
    </row>
    <row r="716">
      <c r="A716" s="30"/>
      <c r="B716" s="23"/>
      <c r="C716" s="23"/>
    </row>
    <row r="717">
      <c r="A717" s="30"/>
      <c r="B717" s="23"/>
      <c r="C717" s="23"/>
    </row>
    <row r="718">
      <c r="A718" s="30"/>
      <c r="B718" s="23"/>
      <c r="C718" s="23"/>
    </row>
    <row r="719">
      <c r="A719" s="30"/>
      <c r="B719" s="23"/>
      <c r="C719" s="23"/>
    </row>
    <row r="720">
      <c r="A720" s="30"/>
      <c r="B720" s="23"/>
      <c r="C720" s="23"/>
    </row>
    <row r="721">
      <c r="A721" s="30"/>
      <c r="B721" s="23"/>
      <c r="C721" s="23"/>
    </row>
    <row r="722">
      <c r="A722" s="30"/>
      <c r="B722" s="23"/>
      <c r="C722" s="23"/>
    </row>
    <row r="723">
      <c r="A723" s="30"/>
      <c r="B723" s="23"/>
      <c r="C723" s="23"/>
    </row>
    <row r="724">
      <c r="A724" s="30"/>
      <c r="B724" s="23"/>
      <c r="C724" s="23"/>
    </row>
    <row r="725">
      <c r="A725" s="30"/>
      <c r="B725" s="23"/>
      <c r="C725" s="23"/>
    </row>
    <row r="726">
      <c r="A726" s="30"/>
      <c r="B726" s="23"/>
      <c r="C726" s="23"/>
    </row>
    <row r="727">
      <c r="A727" s="30"/>
      <c r="B727" s="23"/>
      <c r="C727" s="23"/>
    </row>
    <row r="728">
      <c r="A728" s="30"/>
      <c r="B728" s="23"/>
      <c r="C728" s="23"/>
    </row>
    <row r="729">
      <c r="A729" s="30"/>
      <c r="B729" s="23"/>
      <c r="C729" s="23"/>
    </row>
    <row r="730">
      <c r="A730" s="30"/>
      <c r="B730" s="23"/>
      <c r="C730" s="23"/>
    </row>
    <row r="731">
      <c r="A731" s="30"/>
      <c r="B731" s="23"/>
      <c r="C731" s="23"/>
    </row>
    <row r="732">
      <c r="A732" s="30"/>
      <c r="B732" s="23"/>
      <c r="C732" s="23"/>
    </row>
    <row r="733">
      <c r="A733" s="30"/>
      <c r="B733" s="23"/>
      <c r="C733" s="23"/>
    </row>
    <row r="734">
      <c r="A734" s="30"/>
      <c r="B734" s="23"/>
      <c r="C734" s="23"/>
    </row>
    <row r="735">
      <c r="A735" s="30"/>
      <c r="B735" s="23"/>
      <c r="C735" s="23"/>
    </row>
    <row r="736">
      <c r="A736" s="30"/>
      <c r="B736" s="23"/>
      <c r="C736" s="23"/>
    </row>
    <row r="737">
      <c r="A737" s="30"/>
      <c r="B737" s="23"/>
      <c r="C737" s="23"/>
    </row>
    <row r="738">
      <c r="A738" s="30"/>
      <c r="B738" s="23"/>
      <c r="C738" s="23"/>
    </row>
    <row r="739">
      <c r="A739" s="30"/>
      <c r="B739" s="23"/>
      <c r="C739" s="23"/>
    </row>
    <row r="740">
      <c r="A740" s="30"/>
      <c r="B740" s="23"/>
      <c r="C740" s="23"/>
    </row>
    <row r="741">
      <c r="A741" s="30"/>
      <c r="B741" s="23"/>
      <c r="C741" s="23"/>
    </row>
    <row r="742">
      <c r="A742" s="30"/>
      <c r="B742" s="23"/>
      <c r="C742" s="23"/>
    </row>
    <row r="743">
      <c r="A743" s="30"/>
      <c r="B743" s="23"/>
      <c r="C743" s="23"/>
    </row>
    <row r="744">
      <c r="A744" s="30"/>
      <c r="B744" s="23"/>
      <c r="C744" s="23"/>
    </row>
    <row r="745">
      <c r="A745" s="30"/>
      <c r="B745" s="23"/>
      <c r="C745" s="23"/>
    </row>
    <row r="746">
      <c r="A746" s="30"/>
      <c r="B746" s="23"/>
      <c r="C746" s="23"/>
    </row>
    <row r="747">
      <c r="A747" s="30"/>
      <c r="B747" s="23"/>
      <c r="C747" s="23"/>
    </row>
    <row r="748">
      <c r="A748" s="30"/>
      <c r="B748" s="23"/>
      <c r="C748" s="23"/>
    </row>
    <row r="749">
      <c r="A749" s="30"/>
      <c r="B749" s="23"/>
      <c r="C749" s="23"/>
    </row>
    <row r="750">
      <c r="A750" s="30"/>
      <c r="B750" s="23"/>
      <c r="C750" s="23"/>
    </row>
    <row r="751">
      <c r="A751" s="30"/>
      <c r="B751" s="23"/>
      <c r="C751" s="23"/>
    </row>
    <row r="752">
      <c r="A752" s="30"/>
      <c r="B752" s="23"/>
      <c r="C752" s="23"/>
    </row>
    <row r="753">
      <c r="A753" s="30"/>
      <c r="B753" s="23"/>
      <c r="C753" s="23"/>
    </row>
    <row r="754">
      <c r="A754" s="30"/>
      <c r="B754" s="23"/>
      <c r="C754" s="23"/>
    </row>
    <row r="755">
      <c r="A755" s="30"/>
      <c r="B755" s="23"/>
      <c r="C755" s="23"/>
    </row>
    <row r="756">
      <c r="A756" s="30"/>
      <c r="B756" s="23"/>
      <c r="C756" s="23"/>
    </row>
    <row r="757">
      <c r="A757" s="30"/>
      <c r="B757" s="23"/>
      <c r="C757" s="23"/>
    </row>
    <row r="758">
      <c r="A758" s="30"/>
      <c r="B758" s="23"/>
      <c r="C758" s="23"/>
    </row>
    <row r="759">
      <c r="A759" s="30"/>
      <c r="B759" s="23"/>
      <c r="C759" s="23"/>
    </row>
    <row r="760">
      <c r="A760" s="30"/>
      <c r="B760" s="23"/>
      <c r="C760" s="23"/>
    </row>
    <row r="761">
      <c r="A761" s="30"/>
      <c r="B761" s="23"/>
      <c r="C761" s="23"/>
    </row>
    <row r="762">
      <c r="A762" s="30"/>
      <c r="B762" s="23"/>
      <c r="C762" s="23"/>
    </row>
    <row r="763">
      <c r="A763" s="30"/>
      <c r="B763" s="23"/>
      <c r="C763" s="23"/>
    </row>
    <row r="764">
      <c r="A764" s="30"/>
      <c r="B764" s="23"/>
      <c r="C764" s="23"/>
    </row>
    <row r="765">
      <c r="A765" s="30"/>
      <c r="B765" s="23"/>
      <c r="C765" s="23"/>
    </row>
    <row r="766">
      <c r="A766" s="30"/>
      <c r="B766" s="23"/>
      <c r="C766" s="23"/>
    </row>
    <row r="767">
      <c r="A767" s="30"/>
      <c r="B767" s="23"/>
      <c r="C767" s="23"/>
    </row>
    <row r="768">
      <c r="A768" s="30"/>
      <c r="B768" s="23"/>
      <c r="C768" s="23"/>
    </row>
    <row r="769">
      <c r="A769" s="30"/>
      <c r="B769" s="23"/>
      <c r="C769" s="23"/>
    </row>
    <row r="770">
      <c r="A770" s="30"/>
      <c r="B770" s="23"/>
      <c r="C770" s="23"/>
    </row>
    <row r="771">
      <c r="A771" s="30"/>
      <c r="B771" s="23"/>
      <c r="C771" s="23"/>
    </row>
    <row r="772">
      <c r="A772" s="30"/>
      <c r="B772" s="23"/>
      <c r="C772" s="23"/>
    </row>
    <row r="773">
      <c r="A773" s="30"/>
      <c r="B773" s="23"/>
      <c r="C773" s="23"/>
    </row>
    <row r="774">
      <c r="A774" s="30"/>
      <c r="B774" s="23"/>
      <c r="C774" s="23"/>
    </row>
    <row r="775">
      <c r="A775" s="30"/>
      <c r="B775" s="23"/>
      <c r="C775" s="23"/>
    </row>
    <row r="776">
      <c r="A776" s="30"/>
      <c r="B776" s="23"/>
      <c r="C776" s="23"/>
    </row>
    <row r="777">
      <c r="A777" s="30"/>
      <c r="B777" s="23"/>
      <c r="C777" s="23"/>
    </row>
    <row r="778">
      <c r="A778" s="30"/>
      <c r="B778" s="23"/>
      <c r="C778" s="23"/>
    </row>
    <row r="779">
      <c r="A779" s="30"/>
      <c r="B779" s="23"/>
      <c r="C779" s="23"/>
    </row>
    <row r="780">
      <c r="A780" s="30"/>
      <c r="B780" s="23"/>
      <c r="C780" s="23"/>
    </row>
    <row r="781">
      <c r="A781" s="30"/>
      <c r="B781" s="23"/>
      <c r="C781" s="23"/>
    </row>
    <row r="782">
      <c r="A782" s="30"/>
      <c r="B782" s="23"/>
      <c r="C782" s="23"/>
    </row>
    <row r="783">
      <c r="A783" s="30"/>
      <c r="B783" s="23"/>
      <c r="C783" s="23"/>
    </row>
    <row r="784">
      <c r="A784" s="30"/>
      <c r="B784" s="23"/>
      <c r="C784" s="23"/>
    </row>
    <row r="785">
      <c r="A785" s="30"/>
      <c r="B785" s="23"/>
      <c r="C785" s="23"/>
    </row>
    <row r="786">
      <c r="A786" s="30"/>
      <c r="B786" s="23"/>
      <c r="C786" s="23"/>
    </row>
    <row r="787">
      <c r="A787" s="30"/>
      <c r="B787" s="23"/>
      <c r="C787" s="23"/>
    </row>
    <row r="788">
      <c r="A788" s="30"/>
      <c r="B788" s="23"/>
      <c r="C788" s="23"/>
    </row>
    <row r="789">
      <c r="A789" s="30"/>
      <c r="B789" s="23"/>
      <c r="C789" s="23"/>
    </row>
    <row r="790">
      <c r="A790" s="30"/>
      <c r="B790" s="23"/>
      <c r="C790" s="23"/>
    </row>
    <row r="791">
      <c r="A791" s="30"/>
      <c r="B791" s="23"/>
      <c r="C791" s="23"/>
    </row>
    <row r="792">
      <c r="A792" s="30"/>
      <c r="B792" s="23"/>
      <c r="C792" s="23"/>
    </row>
    <row r="793">
      <c r="A793" s="30"/>
      <c r="B793" s="23"/>
      <c r="C793" s="23"/>
    </row>
    <row r="794">
      <c r="A794" s="30"/>
      <c r="B794" s="23"/>
      <c r="C794" s="23"/>
    </row>
    <row r="795">
      <c r="A795" s="30"/>
      <c r="B795" s="23"/>
      <c r="C795" s="23"/>
    </row>
    <row r="796">
      <c r="A796" s="30"/>
      <c r="B796" s="23"/>
      <c r="C796" s="23"/>
    </row>
    <row r="797">
      <c r="A797" s="30"/>
      <c r="B797" s="23"/>
      <c r="C797" s="23"/>
    </row>
    <row r="798">
      <c r="A798" s="30"/>
      <c r="B798" s="23"/>
      <c r="C798" s="23"/>
    </row>
    <row r="799">
      <c r="A799" s="30"/>
      <c r="B799" s="23"/>
      <c r="C799" s="23"/>
    </row>
    <row r="800">
      <c r="A800" s="30"/>
      <c r="B800" s="23"/>
      <c r="C800" s="23"/>
    </row>
    <row r="801">
      <c r="A801" s="30"/>
      <c r="B801" s="23"/>
      <c r="C801" s="23"/>
    </row>
    <row r="802">
      <c r="A802" s="30"/>
      <c r="B802" s="23"/>
      <c r="C802" s="23"/>
    </row>
    <row r="803">
      <c r="A803" s="30"/>
      <c r="B803" s="23"/>
      <c r="C803" s="23"/>
    </row>
    <row r="804">
      <c r="A804" s="30"/>
      <c r="B804" s="23"/>
      <c r="C804" s="23"/>
    </row>
    <row r="805">
      <c r="A805" s="30"/>
      <c r="B805" s="23"/>
      <c r="C805" s="23"/>
    </row>
    <row r="806">
      <c r="A806" s="30"/>
      <c r="B806" s="23"/>
      <c r="C806" s="23"/>
    </row>
    <row r="807">
      <c r="A807" s="30"/>
      <c r="B807" s="23"/>
      <c r="C807" s="23"/>
    </row>
    <row r="808">
      <c r="A808" s="30"/>
      <c r="B808" s="23"/>
      <c r="C808" s="23"/>
    </row>
    <row r="809">
      <c r="A809" s="30"/>
      <c r="B809" s="23"/>
      <c r="C809" s="23"/>
    </row>
    <row r="810">
      <c r="A810" s="30"/>
      <c r="B810" s="23"/>
      <c r="C810" s="23"/>
    </row>
    <row r="811">
      <c r="A811" s="30"/>
      <c r="B811" s="23"/>
      <c r="C811" s="23"/>
    </row>
    <row r="812">
      <c r="A812" s="30"/>
      <c r="B812" s="23"/>
      <c r="C812" s="23"/>
    </row>
    <row r="813">
      <c r="A813" s="30"/>
      <c r="B813" s="23"/>
      <c r="C813" s="23"/>
    </row>
    <row r="814">
      <c r="A814" s="30"/>
      <c r="B814" s="23"/>
      <c r="C814" s="23"/>
    </row>
    <row r="815">
      <c r="A815" s="30"/>
      <c r="B815" s="23"/>
      <c r="C815" s="23"/>
    </row>
    <row r="816">
      <c r="A816" s="30"/>
      <c r="B816" s="23"/>
      <c r="C816" s="23"/>
    </row>
    <row r="817">
      <c r="A817" s="30"/>
      <c r="B817" s="23"/>
      <c r="C817" s="23"/>
    </row>
    <row r="818">
      <c r="A818" s="30"/>
      <c r="B818" s="23"/>
      <c r="C818" s="23"/>
    </row>
    <row r="819">
      <c r="A819" s="30"/>
      <c r="B819" s="23"/>
      <c r="C819" s="23"/>
    </row>
    <row r="820">
      <c r="A820" s="30"/>
      <c r="B820" s="23"/>
      <c r="C820" s="23"/>
    </row>
    <row r="821">
      <c r="A821" s="30"/>
      <c r="B821" s="23"/>
      <c r="C821" s="23"/>
    </row>
    <row r="822">
      <c r="A822" s="30"/>
      <c r="B822" s="23"/>
      <c r="C822" s="23"/>
    </row>
    <row r="823">
      <c r="A823" s="30"/>
      <c r="B823" s="23"/>
      <c r="C823" s="23"/>
    </row>
    <row r="824">
      <c r="A824" s="30"/>
      <c r="B824" s="23"/>
      <c r="C824" s="23"/>
    </row>
    <row r="825">
      <c r="A825" s="30"/>
      <c r="B825" s="23"/>
      <c r="C825" s="23"/>
    </row>
    <row r="826">
      <c r="A826" s="30"/>
      <c r="B826" s="23"/>
      <c r="C826" s="23"/>
    </row>
    <row r="827">
      <c r="A827" s="30"/>
      <c r="B827" s="23"/>
      <c r="C827" s="23"/>
    </row>
    <row r="828">
      <c r="A828" s="30"/>
      <c r="B828" s="23"/>
      <c r="C828" s="23"/>
    </row>
    <row r="829">
      <c r="A829" s="30"/>
      <c r="B829" s="23"/>
      <c r="C829" s="23"/>
    </row>
    <row r="830">
      <c r="A830" s="30"/>
      <c r="B830" s="23"/>
      <c r="C830" s="23"/>
    </row>
    <row r="831">
      <c r="A831" s="30"/>
      <c r="B831" s="23"/>
      <c r="C831" s="23"/>
    </row>
    <row r="832">
      <c r="A832" s="30"/>
      <c r="B832" s="23"/>
      <c r="C832" s="23"/>
    </row>
    <row r="833">
      <c r="A833" s="30"/>
      <c r="B833" s="23"/>
      <c r="C833" s="23"/>
    </row>
    <row r="834">
      <c r="A834" s="30"/>
      <c r="B834" s="23"/>
      <c r="C834" s="23"/>
    </row>
    <row r="835">
      <c r="A835" s="30"/>
      <c r="B835" s="23"/>
      <c r="C835" s="23"/>
    </row>
    <row r="836">
      <c r="A836" s="30"/>
      <c r="B836" s="23"/>
      <c r="C836" s="23"/>
    </row>
    <row r="837">
      <c r="A837" s="30"/>
      <c r="B837" s="23"/>
      <c r="C837" s="23"/>
    </row>
    <row r="838">
      <c r="A838" s="30"/>
      <c r="B838" s="23"/>
      <c r="C838" s="23"/>
    </row>
    <row r="839">
      <c r="A839" s="30"/>
      <c r="B839" s="23"/>
      <c r="C839" s="23"/>
    </row>
    <row r="840">
      <c r="A840" s="30"/>
      <c r="B840" s="23"/>
      <c r="C840" s="23"/>
    </row>
    <row r="841">
      <c r="A841" s="30"/>
      <c r="B841" s="23"/>
      <c r="C841" s="23"/>
    </row>
    <row r="842">
      <c r="A842" s="30"/>
      <c r="B842" s="23"/>
      <c r="C842" s="23"/>
    </row>
    <row r="843">
      <c r="A843" s="30"/>
      <c r="B843" s="23"/>
      <c r="C843" s="23"/>
    </row>
    <row r="844">
      <c r="A844" s="30"/>
      <c r="B844" s="23"/>
      <c r="C844" s="23"/>
    </row>
    <row r="845">
      <c r="A845" s="30"/>
      <c r="B845" s="23"/>
      <c r="C845" s="23"/>
    </row>
    <row r="846">
      <c r="A846" s="30"/>
      <c r="B846" s="23"/>
      <c r="C846" s="23"/>
    </row>
    <row r="847">
      <c r="A847" s="30"/>
      <c r="B847" s="23"/>
      <c r="C847" s="23"/>
    </row>
    <row r="848">
      <c r="A848" s="30"/>
      <c r="B848" s="23"/>
      <c r="C848" s="23"/>
    </row>
    <row r="849">
      <c r="A849" s="30"/>
      <c r="B849" s="23"/>
      <c r="C849" s="23"/>
    </row>
    <row r="850">
      <c r="A850" s="30"/>
      <c r="B850" s="23"/>
      <c r="C850" s="23"/>
    </row>
    <row r="851">
      <c r="A851" s="30"/>
      <c r="B851" s="23"/>
      <c r="C851" s="23"/>
    </row>
    <row r="852">
      <c r="A852" s="30"/>
      <c r="B852" s="23"/>
      <c r="C852" s="23"/>
    </row>
    <row r="853">
      <c r="A853" s="30"/>
      <c r="B853" s="23"/>
      <c r="C853" s="23"/>
    </row>
    <row r="854">
      <c r="A854" s="30"/>
      <c r="B854" s="23"/>
      <c r="C854" s="23"/>
    </row>
    <row r="855">
      <c r="A855" s="30"/>
      <c r="B855" s="23"/>
      <c r="C855" s="23"/>
    </row>
    <row r="856">
      <c r="A856" s="30"/>
      <c r="B856" s="23"/>
      <c r="C856" s="23"/>
    </row>
    <row r="857">
      <c r="A857" s="30"/>
      <c r="B857" s="23"/>
      <c r="C857" s="23"/>
    </row>
    <row r="858">
      <c r="A858" s="30"/>
      <c r="B858" s="23"/>
      <c r="C858" s="23"/>
    </row>
    <row r="859">
      <c r="A859" s="30"/>
      <c r="B859" s="23"/>
      <c r="C859" s="23"/>
    </row>
    <row r="860">
      <c r="A860" s="30"/>
      <c r="B860" s="23"/>
      <c r="C860" s="23"/>
    </row>
    <row r="861">
      <c r="A861" s="30"/>
      <c r="B861" s="23"/>
      <c r="C861" s="23"/>
    </row>
    <row r="862">
      <c r="A862" s="30"/>
      <c r="B862" s="23"/>
      <c r="C862" s="23"/>
    </row>
    <row r="863">
      <c r="A863" s="30"/>
      <c r="B863" s="23"/>
      <c r="C863" s="23"/>
    </row>
    <row r="864">
      <c r="A864" s="30"/>
      <c r="B864" s="23"/>
      <c r="C864" s="23"/>
    </row>
    <row r="865">
      <c r="A865" s="30"/>
      <c r="B865" s="23"/>
      <c r="C865" s="23"/>
    </row>
    <row r="866">
      <c r="A866" s="30"/>
      <c r="B866" s="23"/>
      <c r="C866" s="23"/>
    </row>
    <row r="867">
      <c r="A867" s="30"/>
      <c r="B867" s="23"/>
      <c r="C867" s="23"/>
    </row>
    <row r="868">
      <c r="A868" s="30"/>
      <c r="B868" s="23"/>
      <c r="C868" s="23"/>
    </row>
    <row r="869">
      <c r="A869" s="30"/>
      <c r="B869" s="23"/>
      <c r="C869" s="23"/>
    </row>
    <row r="870">
      <c r="A870" s="30"/>
      <c r="B870" s="23"/>
      <c r="C870" s="23"/>
    </row>
    <row r="871">
      <c r="A871" s="30"/>
      <c r="B871" s="23"/>
      <c r="C871" s="23"/>
    </row>
    <row r="872">
      <c r="A872" s="30"/>
      <c r="B872" s="23"/>
      <c r="C872" s="23"/>
    </row>
    <row r="873">
      <c r="A873" s="30"/>
      <c r="B873" s="23"/>
      <c r="C873" s="23"/>
    </row>
    <row r="874">
      <c r="A874" s="30"/>
      <c r="B874" s="23"/>
      <c r="C874" s="23"/>
    </row>
    <row r="875">
      <c r="A875" s="30"/>
      <c r="B875" s="23"/>
      <c r="C875" s="23"/>
    </row>
    <row r="876">
      <c r="A876" s="30"/>
      <c r="B876" s="23"/>
      <c r="C876" s="23"/>
    </row>
    <row r="877">
      <c r="A877" s="30"/>
      <c r="B877" s="23"/>
      <c r="C877" s="23"/>
    </row>
    <row r="878">
      <c r="A878" s="30"/>
      <c r="B878" s="23"/>
      <c r="C878" s="23"/>
    </row>
    <row r="879">
      <c r="A879" s="30"/>
      <c r="B879" s="23"/>
      <c r="C879" s="23"/>
    </row>
    <row r="880">
      <c r="A880" s="30"/>
      <c r="B880" s="23"/>
      <c r="C880" s="23"/>
    </row>
    <row r="881">
      <c r="A881" s="30"/>
      <c r="B881" s="23"/>
      <c r="C881" s="23"/>
    </row>
    <row r="882">
      <c r="A882" s="30"/>
      <c r="B882" s="23"/>
      <c r="C882" s="23"/>
    </row>
    <row r="883">
      <c r="A883" s="30"/>
      <c r="B883" s="23"/>
      <c r="C883" s="23"/>
    </row>
    <row r="884">
      <c r="A884" s="30"/>
      <c r="B884" s="23"/>
      <c r="C884" s="23"/>
    </row>
    <row r="885">
      <c r="A885" s="30"/>
      <c r="B885" s="23"/>
      <c r="C885" s="23"/>
    </row>
    <row r="886">
      <c r="A886" s="30"/>
      <c r="B886" s="23"/>
      <c r="C886" s="23"/>
    </row>
    <row r="887">
      <c r="A887" s="30"/>
      <c r="B887" s="23"/>
      <c r="C887" s="23"/>
    </row>
    <row r="888">
      <c r="A888" s="30"/>
      <c r="B888" s="23"/>
      <c r="C888" s="23"/>
    </row>
    <row r="889">
      <c r="A889" s="30"/>
      <c r="B889" s="23"/>
      <c r="C889" s="23"/>
    </row>
    <row r="890">
      <c r="A890" s="30"/>
      <c r="B890" s="23"/>
      <c r="C890" s="23"/>
    </row>
    <row r="891">
      <c r="A891" s="30"/>
      <c r="B891" s="23"/>
      <c r="C891" s="23"/>
    </row>
    <row r="892">
      <c r="A892" s="30"/>
      <c r="B892" s="23"/>
      <c r="C892" s="23"/>
    </row>
    <row r="893">
      <c r="A893" s="30"/>
      <c r="B893" s="23"/>
      <c r="C893" s="23"/>
    </row>
    <row r="894">
      <c r="A894" s="30"/>
      <c r="B894" s="23"/>
      <c r="C894" s="23"/>
    </row>
    <row r="895">
      <c r="A895" s="30"/>
      <c r="B895" s="23"/>
      <c r="C895" s="23"/>
    </row>
    <row r="896">
      <c r="A896" s="30"/>
      <c r="B896" s="23"/>
      <c r="C896" s="23"/>
    </row>
    <row r="897">
      <c r="A897" s="30"/>
      <c r="B897" s="23"/>
      <c r="C897" s="23"/>
    </row>
    <row r="898">
      <c r="A898" s="30"/>
      <c r="B898" s="23"/>
      <c r="C898" s="23"/>
    </row>
    <row r="899">
      <c r="A899" s="30"/>
      <c r="B899" s="23"/>
      <c r="C899" s="23"/>
    </row>
    <row r="900">
      <c r="A900" s="30"/>
      <c r="B900" s="23"/>
      <c r="C900" s="23"/>
    </row>
    <row r="901">
      <c r="A901" s="30"/>
      <c r="B901" s="23"/>
      <c r="C901" s="23"/>
    </row>
    <row r="902">
      <c r="A902" s="30"/>
      <c r="B902" s="23"/>
      <c r="C902" s="23"/>
    </row>
    <row r="903">
      <c r="A903" s="30"/>
      <c r="B903" s="23"/>
      <c r="C903" s="23"/>
    </row>
    <row r="904">
      <c r="A904" s="30"/>
      <c r="B904" s="23"/>
      <c r="C904" s="23"/>
    </row>
    <row r="905">
      <c r="A905" s="30"/>
      <c r="B905" s="23"/>
      <c r="C905" s="23"/>
    </row>
    <row r="906">
      <c r="A906" s="30"/>
      <c r="B906" s="23"/>
      <c r="C906" s="23"/>
    </row>
    <row r="907">
      <c r="A907" s="30"/>
      <c r="B907" s="23"/>
      <c r="C907" s="23"/>
    </row>
    <row r="908">
      <c r="A908" s="30"/>
      <c r="B908" s="23"/>
      <c r="C908" s="23"/>
    </row>
    <row r="909">
      <c r="A909" s="30"/>
      <c r="B909" s="23"/>
      <c r="C909" s="23"/>
    </row>
    <row r="910">
      <c r="A910" s="30"/>
      <c r="B910" s="23"/>
      <c r="C910" s="23"/>
    </row>
    <row r="911">
      <c r="A911" s="30"/>
      <c r="B911" s="23"/>
      <c r="C911" s="23"/>
    </row>
    <row r="912">
      <c r="A912" s="30"/>
      <c r="B912" s="23"/>
      <c r="C912" s="23"/>
    </row>
    <row r="913">
      <c r="A913" s="30"/>
      <c r="B913" s="23"/>
      <c r="C913" s="23"/>
    </row>
    <row r="914">
      <c r="A914" s="30"/>
      <c r="B914" s="23"/>
      <c r="C914" s="23"/>
    </row>
    <row r="915">
      <c r="A915" s="30"/>
      <c r="B915" s="23"/>
      <c r="C915" s="23"/>
    </row>
    <row r="916">
      <c r="A916" s="30"/>
      <c r="B916" s="23"/>
      <c r="C916" s="23"/>
    </row>
    <row r="917">
      <c r="A917" s="30"/>
      <c r="B917" s="23"/>
      <c r="C917" s="23"/>
    </row>
    <row r="918">
      <c r="A918" s="30"/>
      <c r="B918" s="23"/>
      <c r="C918" s="23"/>
    </row>
    <row r="919">
      <c r="A919" s="30"/>
      <c r="B919" s="23"/>
      <c r="C919" s="23"/>
    </row>
    <row r="920">
      <c r="A920" s="30"/>
      <c r="B920" s="23"/>
      <c r="C920" s="23"/>
    </row>
    <row r="921">
      <c r="A921" s="30"/>
      <c r="B921" s="23"/>
      <c r="C921" s="23"/>
    </row>
    <row r="922">
      <c r="A922" s="30"/>
      <c r="B922" s="23"/>
      <c r="C922" s="23"/>
    </row>
    <row r="923">
      <c r="A923" s="30"/>
      <c r="B923" s="23"/>
      <c r="C923" s="23"/>
    </row>
    <row r="924">
      <c r="A924" s="30"/>
      <c r="B924" s="23"/>
      <c r="C924" s="23"/>
    </row>
    <row r="925">
      <c r="A925" s="30"/>
      <c r="B925" s="23"/>
      <c r="C925" s="23"/>
    </row>
    <row r="926">
      <c r="A926" s="30"/>
      <c r="B926" s="23"/>
      <c r="C926" s="23"/>
    </row>
    <row r="927">
      <c r="A927" s="30"/>
      <c r="B927" s="23"/>
      <c r="C927" s="23"/>
    </row>
    <row r="928">
      <c r="A928" s="30"/>
      <c r="B928" s="23"/>
      <c r="C928" s="23"/>
    </row>
    <row r="929">
      <c r="A929" s="30"/>
      <c r="B929" s="23"/>
      <c r="C929" s="23"/>
    </row>
    <row r="930">
      <c r="A930" s="30"/>
      <c r="B930" s="23"/>
      <c r="C930" s="23"/>
    </row>
    <row r="931">
      <c r="A931" s="30"/>
      <c r="B931" s="23"/>
      <c r="C931" s="23"/>
    </row>
    <row r="932">
      <c r="A932" s="30"/>
      <c r="B932" s="23"/>
      <c r="C932" s="23"/>
    </row>
    <row r="933">
      <c r="A933" s="30"/>
      <c r="B933" s="23"/>
      <c r="C933" s="23"/>
    </row>
    <row r="934">
      <c r="A934" s="30"/>
      <c r="B934" s="23"/>
      <c r="C934" s="23"/>
    </row>
    <row r="935">
      <c r="A935" s="30"/>
      <c r="B935" s="23"/>
      <c r="C935" s="23"/>
    </row>
    <row r="936">
      <c r="A936" s="30"/>
      <c r="B936" s="23"/>
      <c r="C936" s="23"/>
    </row>
    <row r="937">
      <c r="A937" s="30"/>
      <c r="B937" s="23"/>
      <c r="C937" s="23"/>
    </row>
    <row r="938">
      <c r="A938" s="30"/>
      <c r="B938" s="23"/>
      <c r="C938" s="23"/>
    </row>
    <row r="939">
      <c r="A939" s="30"/>
      <c r="B939" s="23"/>
      <c r="C939" s="23"/>
    </row>
    <row r="940">
      <c r="A940" s="30"/>
      <c r="B940" s="23"/>
      <c r="C940" s="23"/>
    </row>
    <row r="941">
      <c r="A941" s="30"/>
      <c r="B941" s="23"/>
      <c r="C941" s="23"/>
    </row>
    <row r="942">
      <c r="A942" s="30"/>
      <c r="B942" s="23"/>
      <c r="C942" s="23"/>
    </row>
    <row r="943">
      <c r="A943" s="30"/>
      <c r="B943" s="23"/>
      <c r="C943" s="23"/>
    </row>
    <row r="944">
      <c r="A944" s="30"/>
      <c r="B944" s="23"/>
      <c r="C944" s="23"/>
    </row>
    <row r="945">
      <c r="A945" s="30"/>
      <c r="B945" s="23"/>
      <c r="C945" s="23"/>
    </row>
    <row r="946">
      <c r="A946" s="30"/>
      <c r="B946" s="23"/>
      <c r="C946" s="23"/>
    </row>
    <row r="947">
      <c r="A947" s="30"/>
      <c r="B947" s="23"/>
      <c r="C947" s="23"/>
    </row>
    <row r="948">
      <c r="A948" s="30"/>
      <c r="B948" s="23"/>
      <c r="C948" s="23"/>
    </row>
    <row r="949">
      <c r="A949" s="30"/>
      <c r="B949" s="23"/>
      <c r="C949" s="23"/>
    </row>
    <row r="950">
      <c r="A950" s="30"/>
      <c r="B950" s="23"/>
      <c r="C950" s="23"/>
    </row>
    <row r="951">
      <c r="A951" s="30"/>
      <c r="B951" s="23"/>
      <c r="C951" s="23"/>
    </row>
    <row r="952">
      <c r="A952" s="30"/>
      <c r="B952" s="23"/>
      <c r="C952" s="23"/>
    </row>
    <row r="953">
      <c r="A953" s="30"/>
      <c r="B953" s="23"/>
      <c r="C953" s="23"/>
    </row>
    <row r="954">
      <c r="A954" s="30"/>
      <c r="B954" s="23"/>
      <c r="C954" s="23"/>
    </row>
    <row r="955">
      <c r="A955" s="30"/>
      <c r="B955" s="23"/>
      <c r="C955" s="23"/>
    </row>
    <row r="956">
      <c r="A956" s="30"/>
      <c r="B956" s="23"/>
      <c r="C956" s="23"/>
    </row>
    <row r="957">
      <c r="A957" s="30"/>
      <c r="B957" s="23"/>
      <c r="C957" s="23"/>
    </row>
    <row r="958">
      <c r="A958" s="30"/>
      <c r="B958" s="23"/>
      <c r="C958" s="23"/>
    </row>
    <row r="959">
      <c r="A959" s="30"/>
      <c r="B959" s="23"/>
      <c r="C959" s="23"/>
    </row>
    <row r="960">
      <c r="A960" s="30"/>
      <c r="B960" s="23"/>
      <c r="C960" s="23"/>
    </row>
    <row r="961">
      <c r="A961" s="30"/>
      <c r="B961" s="23"/>
      <c r="C961" s="23"/>
    </row>
    <row r="962">
      <c r="A962" s="30"/>
      <c r="B962" s="23"/>
      <c r="C962" s="23"/>
    </row>
    <row r="963">
      <c r="A963" s="30"/>
      <c r="B963" s="23"/>
      <c r="C963" s="23"/>
    </row>
    <row r="964">
      <c r="A964" s="30"/>
      <c r="B964" s="23"/>
      <c r="C964" s="23"/>
    </row>
    <row r="965">
      <c r="A965" s="30"/>
      <c r="B965" s="23"/>
      <c r="C965" s="23"/>
    </row>
    <row r="966">
      <c r="A966" s="30"/>
      <c r="B966" s="23"/>
      <c r="C966" s="23"/>
    </row>
    <row r="967">
      <c r="A967" s="30"/>
      <c r="B967" s="23"/>
      <c r="C967" s="23"/>
    </row>
    <row r="968">
      <c r="A968" s="30"/>
      <c r="B968" s="23"/>
      <c r="C968" s="23"/>
    </row>
    <row r="969">
      <c r="A969" s="30"/>
      <c r="B969" s="23"/>
      <c r="C969" s="23"/>
    </row>
    <row r="970">
      <c r="A970" s="30"/>
      <c r="B970" s="23"/>
      <c r="C970" s="23"/>
    </row>
    <row r="971">
      <c r="A971" s="30"/>
      <c r="B971" s="23"/>
      <c r="C971" s="23"/>
    </row>
    <row r="972">
      <c r="A972" s="30"/>
      <c r="B972" s="23"/>
      <c r="C972" s="23"/>
    </row>
    <row r="973">
      <c r="A973" s="30"/>
      <c r="B973" s="23"/>
      <c r="C973" s="23"/>
    </row>
    <row r="974">
      <c r="A974" s="30"/>
      <c r="B974" s="23"/>
      <c r="C974" s="23"/>
    </row>
    <row r="975">
      <c r="A975" s="30"/>
      <c r="B975" s="23"/>
      <c r="C975" s="23"/>
    </row>
    <row r="976">
      <c r="A976" s="30"/>
      <c r="B976" s="23"/>
      <c r="C976" s="23"/>
    </row>
    <row r="977">
      <c r="A977" s="30"/>
      <c r="B977" s="23"/>
      <c r="C977" s="23"/>
    </row>
    <row r="978">
      <c r="A978" s="30"/>
      <c r="B978" s="23"/>
      <c r="C978" s="23"/>
    </row>
    <row r="979">
      <c r="A979" s="30"/>
      <c r="B979" s="23"/>
      <c r="C979" s="23"/>
    </row>
    <row r="980">
      <c r="A980" s="30"/>
      <c r="B980" s="23"/>
      <c r="C980" s="23"/>
    </row>
    <row r="981">
      <c r="A981" s="30"/>
      <c r="B981" s="23"/>
      <c r="C981" s="23"/>
    </row>
    <row r="982">
      <c r="A982" s="30"/>
      <c r="B982" s="23"/>
      <c r="C982" s="23"/>
    </row>
    <row r="983">
      <c r="A983" s="30"/>
      <c r="B983" s="23"/>
      <c r="C983" s="23"/>
    </row>
    <row r="984">
      <c r="A984" s="30"/>
      <c r="B984" s="23"/>
      <c r="C984" s="23"/>
    </row>
    <row r="985">
      <c r="A985" s="30"/>
      <c r="B985" s="23"/>
      <c r="C985" s="23"/>
    </row>
    <row r="986">
      <c r="A986" s="30"/>
      <c r="B986" s="23"/>
      <c r="C986" s="23"/>
    </row>
    <row r="987">
      <c r="A987" s="30"/>
      <c r="B987" s="23"/>
      <c r="C987" s="23"/>
    </row>
    <row r="988">
      <c r="A988" s="30"/>
      <c r="B988" s="23"/>
      <c r="C988" s="23"/>
    </row>
    <row r="989">
      <c r="A989" s="30"/>
      <c r="B989" s="23"/>
      <c r="C989" s="23"/>
    </row>
    <row r="990">
      <c r="A990" s="30"/>
      <c r="B990" s="23"/>
      <c r="C990" s="23"/>
    </row>
    <row r="991">
      <c r="A991" s="30"/>
      <c r="B991" s="23"/>
      <c r="C991" s="23"/>
    </row>
    <row r="992">
      <c r="A992" s="30"/>
      <c r="B992" s="23"/>
      <c r="C992" s="23"/>
    </row>
    <row r="993">
      <c r="A993" s="30"/>
      <c r="B993" s="23"/>
      <c r="C993" s="23"/>
    </row>
    <row r="994">
      <c r="A994" s="30"/>
      <c r="B994" s="23"/>
      <c r="C994" s="23"/>
    </row>
    <row r="995">
      <c r="A995" s="30"/>
      <c r="B995" s="23"/>
      <c r="C995" s="23"/>
    </row>
    <row r="996">
      <c r="A996" s="30"/>
      <c r="B996" s="23"/>
      <c r="C996" s="23"/>
    </row>
    <row r="997">
      <c r="A997" s="30"/>
      <c r="B997" s="23"/>
      <c r="C997" s="23"/>
    </row>
    <row r="998">
      <c r="A998" s="30"/>
      <c r="B998" s="23"/>
      <c r="C998" s="23"/>
    </row>
    <row r="999">
      <c r="A999" s="30"/>
      <c r="B999" s="23"/>
      <c r="C999" s="23"/>
    </row>
    <row r="1000">
      <c r="A1000" s="30"/>
      <c r="B1000" s="23"/>
      <c r="C1000" s="23"/>
    </row>
  </sheetData>
  <hyperlinks>
    <hyperlink r:id="rId1" ref="B1"/>
    <hyperlink r:id="rId2" ref="C1"/>
    <hyperlink r:id="rId3" ref="F1"/>
    <hyperlink r:id="rId4" ref="G1"/>
  </hyperlinks>
  <drawing r:id="rId5"/>
  <tableParts count="2">
    <tablePart r:id="rId8"/>
    <tablePart r:id="rId9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3.13"/>
  </cols>
  <sheetData>
    <row r="1">
      <c r="A1" s="29" t="s">
        <v>0</v>
      </c>
      <c r="B1" s="43" t="s">
        <v>1</v>
      </c>
      <c r="C1" s="43" t="s">
        <v>2</v>
      </c>
      <c r="D1" s="19"/>
      <c r="E1" s="44"/>
      <c r="F1" s="43" t="s">
        <v>1</v>
      </c>
      <c r="G1" s="43" t="s">
        <v>2</v>
      </c>
    </row>
    <row r="2">
      <c r="A2" s="32">
        <v>46048.0</v>
      </c>
      <c r="B2" s="34">
        <v>-0.030538783093358224</v>
      </c>
      <c r="C2" s="34">
        <v>0.016399351234456683</v>
      </c>
      <c r="D2" s="20"/>
      <c r="E2" s="45" t="s">
        <v>19</v>
      </c>
      <c r="F2" s="46">
        <f t="shared" ref="F2:G2" si="1">AVERAGE(B2:B52)</f>
        <v>-0.002794805997</v>
      </c>
      <c r="G2" s="46">
        <f t="shared" si="1"/>
        <v>0.001430450845</v>
      </c>
    </row>
    <row r="3">
      <c r="A3" s="32">
        <v>46041.0</v>
      </c>
      <c r="B3" s="34">
        <v>-0.021363636363636362</v>
      </c>
      <c r="C3" s="34">
        <v>-0.0019784172661870825</v>
      </c>
      <c r="E3" s="45" t="s">
        <v>20</v>
      </c>
      <c r="F3" s="47">
        <f t="shared" ref="F3:G3" si="2">AVEDEV(B2:B52)*51/50</f>
        <v>0.037265264</v>
      </c>
      <c r="G3" s="47">
        <f t="shared" si="2"/>
        <v>0.02896458518</v>
      </c>
    </row>
    <row r="4">
      <c r="A4" s="32">
        <v>46034.0</v>
      </c>
      <c r="B4" s="34">
        <v>-0.016320143080706395</v>
      </c>
      <c r="C4" s="34">
        <v>-0.04038660683465645</v>
      </c>
      <c r="E4" s="45" t="s">
        <v>21</v>
      </c>
      <c r="F4" s="47">
        <f t="shared" ref="F4:G4" si="3">_xlfn.VAR.S(B2:B52)</f>
        <v>0.002065500713</v>
      </c>
      <c r="G4" s="47">
        <f t="shared" si="3"/>
        <v>0.00177218022</v>
      </c>
    </row>
    <row r="5">
      <c r="A5" s="32">
        <v>46027.0</v>
      </c>
      <c r="B5" s="34">
        <v>-0.016815034619188984</v>
      </c>
      <c r="C5" s="34">
        <v>0.03603039785426909</v>
      </c>
      <c r="E5" s="45" t="s">
        <v>22</v>
      </c>
      <c r="F5" s="48">
        <f t="shared" ref="F5:G5" si="4">_xlfn.STDEV.S(B2:B52)</f>
        <v>0.04544778006</v>
      </c>
      <c r="G5" s="49">
        <f t="shared" si="4"/>
        <v>0.04209727094</v>
      </c>
    </row>
    <row r="6">
      <c r="A6" s="32">
        <v>46020.0</v>
      </c>
      <c r="B6" s="34">
        <v>-0.03683709114004452</v>
      </c>
      <c r="C6" s="34">
        <v>-0.015058119056005737</v>
      </c>
      <c r="E6" s="50" t="s">
        <v>30</v>
      </c>
      <c r="F6" s="51">
        <f t="shared" ref="F6:G6" si="5">F5/F2</f>
        <v>-16.26151515</v>
      </c>
      <c r="G6" s="51">
        <f t="shared" si="5"/>
        <v>29.42937263</v>
      </c>
    </row>
    <row r="7">
      <c r="A7" s="32">
        <v>46013.0</v>
      </c>
      <c r="B7" s="34">
        <v>8.475474096831803E-4</v>
      </c>
      <c r="C7" s="34">
        <v>0.02778531993845612</v>
      </c>
      <c r="E7" s="52" t="s">
        <v>14</v>
      </c>
      <c r="F7" s="52">
        <f t="shared" ref="F7:G7" si="6">MIN(B2:B52)</f>
        <v>-0.09127065062</v>
      </c>
      <c r="G7" s="52">
        <f t="shared" si="6"/>
        <v>-0.1482474227</v>
      </c>
    </row>
    <row r="8">
      <c r="A8" s="32">
        <v>46006.0</v>
      </c>
      <c r="B8" s="34">
        <v>-0.008404244143292328</v>
      </c>
      <c r="C8" s="34">
        <v>-0.0032476319350474014</v>
      </c>
      <c r="E8" s="52" t="s">
        <v>13</v>
      </c>
      <c r="F8" s="52">
        <f t="shared" ref="F8:G8" si="7">Max(B2:B52)</f>
        <v>0.132065776</v>
      </c>
      <c r="G8" s="52">
        <f t="shared" si="7"/>
        <v>0.1453869698</v>
      </c>
    </row>
    <row r="9">
      <c r="A9" s="32">
        <v>45999.0</v>
      </c>
      <c r="B9" s="34">
        <v>-0.05037909018355946</v>
      </c>
      <c r="C9" s="34">
        <v>0.05985275838990334</v>
      </c>
      <c r="E9" s="52" t="s">
        <v>34</v>
      </c>
      <c r="F9" s="53">
        <f t="shared" ref="F9:G9" si="8">(F7-F2)/F5</f>
        <v>-1.946758335</v>
      </c>
      <c r="G9" s="53">
        <f t="shared" si="8"/>
        <v>-3.555524389</v>
      </c>
    </row>
    <row r="10">
      <c r="A10" s="32">
        <v>45992.0</v>
      </c>
      <c r="B10" s="34">
        <v>-0.06822829522216034</v>
      </c>
      <c r="C10" s="34">
        <v>0.007902091163149327</v>
      </c>
      <c r="E10" s="52" t="s">
        <v>35</v>
      </c>
      <c r="F10" s="53">
        <f t="shared" ref="F10:G10" si="9">(F8-F2)/F5</f>
        <v>2.967374463</v>
      </c>
      <c r="G10" s="53">
        <f t="shared" si="9"/>
        <v>3.419616421</v>
      </c>
    </row>
    <row r="11">
      <c r="A11" s="32">
        <v>45985.0</v>
      </c>
      <c r="B11" s="34">
        <v>0.0313488639631867</v>
      </c>
      <c r="C11" s="34">
        <v>0.0018343309519210926</v>
      </c>
    </row>
    <row r="12">
      <c r="A12" s="32">
        <v>45978.0</v>
      </c>
      <c r="B12" s="34">
        <v>-0.06212911346880057</v>
      </c>
      <c r="C12" s="34">
        <v>-0.014368636406889346</v>
      </c>
      <c r="E12" s="13" t="s">
        <v>36</v>
      </c>
    </row>
    <row r="13">
      <c r="A13" s="32">
        <v>45971.0</v>
      </c>
      <c r="B13" s="34">
        <v>0.007701368125396346</v>
      </c>
      <c r="C13" s="34">
        <v>-0.044636363636363585</v>
      </c>
      <c r="E13" s="13" t="s">
        <v>37</v>
      </c>
    </row>
    <row r="14">
      <c r="A14" s="32">
        <v>45964.0</v>
      </c>
      <c r="B14" s="34">
        <v>-0.013584770756993492</v>
      </c>
      <c r="C14" s="34">
        <v>-0.016627927766851403</v>
      </c>
    </row>
    <row r="15">
      <c r="A15" s="32">
        <v>45957.0</v>
      </c>
      <c r="B15" s="34">
        <v>0.022106513199963373</v>
      </c>
      <c r="C15" s="34">
        <v>0.008383665374560367</v>
      </c>
    </row>
    <row r="16">
      <c r="A16" s="32">
        <v>45950.0</v>
      </c>
      <c r="B16" s="34">
        <v>-0.08729364682341167</v>
      </c>
      <c r="C16" s="34">
        <v>0.009096697898662853</v>
      </c>
    </row>
    <row r="17">
      <c r="A17" s="32">
        <v>45943.0</v>
      </c>
      <c r="B17" s="34">
        <v>-0.016965822473567815</v>
      </c>
      <c r="C17" s="34">
        <v>0.013553383735939617</v>
      </c>
    </row>
    <row r="18">
      <c r="A18" s="32">
        <v>45936.0</v>
      </c>
      <c r="B18" s="34">
        <v>0.05792074915459988</v>
      </c>
      <c r="C18" s="34">
        <v>-0.02909318771819891</v>
      </c>
    </row>
    <row r="19">
      <c r="A19" s="32">
        <v>45929.0</v>
      </c>
      <c r="B19" s="34">
        <v>-0.0473319015364283</v>
      </c>
      <c r="C19" s="34">
        <v>-0.00887232721142761</v>
      </c>
    </row>
    <row r="20">
      <c r="A20" s="32">
        <v>45922.0</v>
      </c>
      <c r="B20" s="34">
        <v>-0.013365933170334188</v>
      </c>
      <c r="C20" s="34">
        <v>-0.0025663716814159354</v>
      </c>
    </row>
    <row r="21">
      <c r="A21" s="32">
        <v>45915.0</v>
      </c>
      <c r="B21" s="34">
        <v>0.03248064624705482</v>
      </c>
      <c r="C21" s="34">
        <v>-0.01892689703073458</v>
      </c>
    </row>
    <row r="22">
      <c r="A22" s="32">
        <v>45908.0</v>
      </c>
      <c r="B22" s="34">
        <v>-0.04454092297797063</v>
      </c>
      <c r="C22" s="34">
        <v>-0.01656420765027322</v>
      </c>
    </row>
    <row r="23">
      <c r="A23" s="32">
        <v>45901.0</v>
      </c>
      <c r="B23" s="34">
        <v>0.029465320311206744</v>
      </c>
      <c r="C23" s="34">
        <v>-0.003912229971083425</v>
      </c>
    </row>
    <row r="24">
      <c r="A24" s="32">
        <v>45894.0</v>
      </c>
      <c r="B24" s="34">
        <v>0.002988543914992592</v>
      </c>
      <c r="C24" s="34">
        <v>-0.004065729290191444</v>
      </c>
    </row>
    <row r="25">
      <c r="A25" s="32">
        <v>45887.0</v>
      </c>
      <c r="B25" s="34">
        <v>-0.027685850351118035</v>
      </c>
      <c r="C25" s="34">
        <v>0.030102085332867956</v>
      </c>
    </row>
    <row r="26">
      <c r="A26" s="32">
        <v>45880.0</v>
      </c>
      <c r="B26" s="34">
        <v>0.022532188841201783</v>
      </c>
      <c r="C26" s="34">
        <v>0.02632757231127436</v>
      </c>
    </row>
    <row r="27">
      <c r="A27" s="32">
        <v>45873.0</v>
      </c>
      <c r="B27" s="34">
        <v>0.045744864491627846</v>
      </c>
      <c r="C27" s="34">
        <v>-0.03574820827216996</v>
      </c>
    </row>
    <row r="28">
      <c r="A28" s="32">
        <v>45866.0</v>
      </c>
      <c r="B28" s="34">
        <v>-0.0185514612452351</v>
      </c>
      <c r="C28" s="34">
        <v>-0.04011603812681308</v>
      </c>
    </row>
    <row r="29">
      <c r="A29" s="32">
        <v>45859.0</v>
      </c>
      <c r="B29" s="34">
        <v>-0.023734700628514793</v>
      </c>
      <c r="C29" s="34">
        <v>4.145936981758691E-4</v>
      </c>
    </row>
    <row r="30">
      <c r="A30" s="32">
        <v>45852.0</v>
      </c>
      <c r="B30" s="34">
        <v>-0.028833025459802486</v>
      </c>
      <c r="C30" s="34">
        <v>0.012934654795901057</v>
      </c>
    </row>
    <row r="31">
      <c r="A31" s="32">
        <v>45845.0</v>
      </c>
      <c r="B31" s="34">
        <v>-0.04016342892383595</v>
      </c>
      <c r="C31" s="34">
        <v>-0.03336851506048555</v>
      </c>
    </row>
    <row r="32">
      <c r="A32" s="32">
        <v>45838.0</v>
      </c>
      <c r="B32" s="34">
        <v>-0.019575239966744817</v>
      </c>
      <c r="C32" s="34">
        <v>0.01793388429752074</v>
      </c>
    </row>
    <row r="33">
      <c r="A33" s="32">
        <v>45831.0</v>
      </c>
      <c r="B33" s="34">
        <v>0.07446808510638303</v>
      </c>
      <c r="C33" s="34">
        <v>0.04005501117414467</v>
      </c>
    </row>
    <row r="34">
      <c r="A34" s="32">
        <v>45824.0</v>
      </c>
      <c r="B34" s="34">
        <v>0.015922778648626457</v>
      </c>
      <c r="C34" s="34">
        <v>-0.0026575225032147154</v>
      </c>
    </row>
    <row r="35">
      <c r="A35" s="32">
        <v>45817.0</v>
      </c>
      <c r="B35" s="34">
        <v>-0.023681031010874043</v>
      </c>
      <c r="C35" s="34">
        <v>0.03550821127385717</v>
      </c>
    </row>
    <row r="36">
      <c r="A36" s="32">
        <v>45810.0</v>
      </c>
      <c r="B36" s="34">
        <v>0.028412856196156522</v>
      </c>
      <c r="C36" s="34">
        <v>0.007602862254025178</v>
      </c>
    </row>
    <row r="37">
      <c r="A37" s="42">
        <v>45803.0</v>
      </c>
      <c r="B37" s="34">
        <v>0.018390416736966397</v>
      </c>
      <c r="C37" s="34">
        <v>0.030224843346848607</v>
      </c>
    </row>
    <row r="38">
      <c r="A38" s="42">
        <v>45796.0</v>
      </c>
      <c r="B38" s="34">
        <v>-0.005119597146454047</v>
      </c>
      <c r="C38" s="34">
        <v>-0.03262613656623292</v>
      </c>
    </row>
    <row r="39">
      <c r="A39" s="42">
        <v>45789.0</v>
      </c>
      <c r="B39" s="34">
        <v>0.04499210664795661</v>
      </c>
      <c r="C39" s="34">
        <v>0.07062416491696899</v>
      </c>
    </row>
    <row r="40">
      <c r="A40" s="42">
        <v>45782.0</v>
      </c>
      <c r="B40" s="34">
        <v>-0.014094249891915323</v>
      </c>
      <c r="C40" s="27">
        <v>0.14538696982947097</v>
      </c>
    </row>
    <row r="41">
      <c r="A41" s="32">
        <v>45775.0</v>
      </c>
      <c r="B41" s="34">
        <v>0.049931911030413056</v>
      </c>
      <c r="C41" s="34">
        <v>0.02452682271250972</v>
      </c>
    </row>
    <row r="42">
      <c r="A42" s="32">
        <v>45768.0</v>
      </c>
      <c r="B42" s="34">
        <v>0.13206577595066804</v>
      </c>
      <c r="C42" s="34">
        <v>0.06449690033381028</v>
      </c>
    </row>
    <row r="43">
      <c r="A43" s="32">
        <v>45761.0</v>
      </c>
      <c r="B43" s="34">
        <v>0.05956659043885448</v>
      </c>
      <c r="C43" s="34">
        <v>-9.52834683182413E-4</v>
      </c>
    </row>
    <row r="44">
      <c r="A44" s="32">
        <v>45754.0</v>
      </c>
      <c r="B44" s="34">
        <v>0.0729057132842621</v>
      </c>
      <c r="C44" s="34">
        <v>0.016218833212297223</v>
      </c>
    </row>
    <row r="45">
      <c r="A45" s="32">
        <v>45747.0</v>
      </c>
      <c r="B45" s="34">
        <v>-0.08352071956312235</v>
      </c>
      <c r="C45" s="27">
        <v>-0.14824742268041236</v>
      </c>
    </row>
    <row r="46">
      <c r="A46" s="32">
        <v>45740.0</v>
      </c>
      <c r="B46" s="34">
        <v>-0.027491408934707917</v>
      </c>
      <c r="C46" s="34">
        <v>-0.013927010267357987</v>
      </c>
    </row>
    <row r="47">
      <c r="A47" s="32">
        <v>45733.0</v>
      </c>
      <c r="B47" s="34">
        <v>0.04607843137254908</v>
      </c>
      <c r="C47" s="34">
        <v>0.008302583025830312</v>
      </c>
    </row>
    <row r="48">
      <c r="A48" s="32">
        <v>45726.0</v>
      </c>
      <c r="B48" s="34">
        <v>0.030187408820558925</v>
      </c>
      <c r="C48" s="34">
        <v>-0.06515906477577615</v>
      </c>
    </row>
    <row r="49">
      <c r="A49" s="32">
        <v>45719.0</v>
      </c>
      <c r="B49" s="34">
        <v>-0.09127065062206818</v>
      </c>
      <c r="C49" s="34">
        <v>-0.07285003553660274</v>
      </c>
    </row>
    <row r="50">
      <c r="A50" s="32">
        <v>45712.0</v>
      </c>
      <c r="B50" s="34">
        <v>-0.022527910685805286</v>
      </c>
      <c r="C50" s="34">
        <v>0.04736205452684472</v>
      </c>
    </row>
    <row r="51">
      <c r="A51" s="32">
        <v>45705.0</v>
      </c>
      <c r="B51" s="34">
        <v>-0.05233327035707547</v>
      </c>
      <c r="C51" s="34">
        <v>-0.015572043601722152</v>
      </c>
    </row>
    <row r="52">
      <c r="A52" s="32">
        <v>45698.0</v>
      </c>
      <c r="B52" s="34">
        <v>0.04408718808560996</v>
      </c>
      <c r="C52" s="34">
        <v>-0.004377564979480164</v>
      </c>
    </row>
    <row r="53">
      <c r="A53" s="32"/>
      <c r="B53" s="28"/>
      <c r="C53" s="23"/>
    </row>
    <row r="54">
      <c r="A54" s="32"/>
      <c r="B54" s="23"/>
      <c r="C54" s="23"/>
    </row>
    <row r="55">
      <c r="A55" s="30"/>
      <c r="B55" s="23"/>
      <c r="C55" s="23"/>
    </row>
    <row r="56">
      <c r="A56" s="30"/>
      <c r="B56" s="23"/>
      <c r="C56" s="23"/>
    </row>
    <row r="57">
      <c r="A57" s="30"/>
      <c r="B57" s="23"/>
      <c r="C57" s="23"/>
    </row>
    <row r="58">
      <c r="A58" s="30"/>
      <c r="B58" s="23"/>
      <c r="C58" s="23"/>
    </row>
    <row r="59">
      <c r="A59" s="30"/>
      <c r="B59" s="23"/>
      <c r="C59" s="23"/>
    </row>
    <row r="60">
      <c r="A60" s="30"/>
      <c r="B60" s="23"/>
      <c r="C60" s="23"/>
    </row>
    <row r="61">
      <c r="A61" s="30"/>
      <c r="B61" s="23"/>
      <c r="C61" s="23"/>
    </row>
    <row r="62">
      <c r="A62" s="30"/>
      <c r="B62" s="23"/>
      <c r="C62" s="23"/>
    </row>
    <row r="63">
      <c r="A63" s="30"/>
      <c r="B63" s="23"/>
      <c r="C63" s="23"/>
    </row>
    <row r="64">
      <c r="A64" s="30"/>
      <c r="B64" s="23"/>
      <c r="C64" s="23"/>
    </row>
    <row r="65">
      <c r="A65" s="30"/>
      <c r="B65" s="23"/>
      <c r="C65" s="23"/>
    </row>
    <row r="66">
      <c r="A66" s="30"/>
      <c r="B66" s="23"/>
      <c r="C66" s="23"/>
    </row>
    <row r="67">
      <c r="A67" s="30"/>
      <c r="B67" s="23"/>
      <c r="C67" s="23"/>
    </row>
    <row r="68">
      <c r="A68" s="30"/>
      <c r="B68" s="23"/>
      <c r="C68" s="23"/>
    </row>
    <row r="69">
      <c r="A69" s="30"/>
      <c r="B69" s="23"/>
      <c r="C69" s="23"/>
    </row>
    <row r="70">
      <c r="A70" s="30"/>
      <c r="B70" s="23"/>
      <c r="C70" s="23"/>
    </row>
    <row r="71">
      <c r="A71" s="30"/>
      <c r="B71" s="23"/>
      <c r="C71" s="23"/>
    </row>
    <row r="72">
      <c r="A72" s="30"/>
      <c r="B72" s="23"/>
      <c r="C72" s="23"/>
    </row>
    <row r="73">
      <c r="A73" s="30"/>
      <c r="B73" s="23"/>
      <c r="C73" s="23"/>
    </row>
    <row r="74">
      <c r="A74" s="30"/>
      <c r="B74" s="23"/>
      <c r="C74" s="23"/>
    </row>
    <row r="75">
      <c r="A75" s="30"/>
      <c r="B75" s="23"/>
      <c r="C75" s="23"/>
    </row>
    <row r="76">
      <c r="A76" s="30"/>
      <c r="B76" s="23"/>
      <c r="C76" s="23"/>
    </row>
    <row r="77">
      <c r="A77" s="30"/>
      <c r="B77" s="23"/>
      <c r="C77" s="23"/>
    </row>
    <row r="78">
      <c r="A78" s="30"/>
      <c r="B78" s="23"/>
      <c r="C78" s="23"/>
    </row>
    <row r="79">
      <c r="A79" s="30"/>
      <c r="B79" s="23"/>
      <c r="C79" s="23"/>
    </row>
    <row r="80">
      <c r="A80" s="30"/>
      <c r="B80" s="23"/>
      <c r="C80" s="23"/>
    </row>
    <row r="81">
      <c r="A81" s="30"/>
      <c r="B81" s="23"/>
      <c r="C81" s="23"/>
    </row>
    <row r="82">
      <c r="A82" s="30"/>
      <c r="B82" s="23"/>
      <c r="C82" s="23"/>
    </row>
    <row r="83">
      <c r="A83" s="30"/>
      <c r="B83" s="23"/>
      <c r="C83" s="23"/>
    </row>
    <row r="84">
      <c r="A84" s="30"/>
      <c r="B84" s="23"/>
      <c r="C84" s="23"/>
    </row>
    <row r="85">
      <c r="A85" s="30"/>
      <c r="B85" s="23"/>
      <c r="C85" s="23"/>
    </row>
    <row r="86">
      <c r="A86" s="30"/>
      <c r="B86" s="23"/>
      <c r="C86" s="23"/>
    </row>
    <row r="87">
      <c r="A87" s="30"/>
      <c r="B87" s="23"/>
      <c r="C87" s="23"/>
    </row>
    <row r="88">
      <c r="A88" s="30"/>
      <c r="B88" s="23"/>
      <c r="C88" s="23"/>
    </row>
    <row r="89">
      <c r="A89" s="30"/>
      <c r="B89" s="23"/>
      <c r="C89" s="23"/>
    </row>
    <row r="90">
      <c r="A90" s="30"/>
      <c r="B90" s="23"/>
      <c r="C90" s="23"/>
    </row>
    <row r="91">
      <c r="A91" s="30"/>
      <c r="B91" s="23"/>
      <c r="C91" s="23"/>
    </row>
    <row r="92">
      <c r="A92" s="30"/>
      <c r="B92" s="23"/>
      <c r="C92" s="23"/>
    </row>
    <row r="93">
      <c r="A93" s="30"/>
      <c r="B93" s="23"/>
      <c r="C93" s="23"/>
    </row>
    <row r="94">
      <c r="A94" s="30"/>
      <c r="B94" s="23"/>
      <c r="C94" s="23"/>
    </row>
    <row r="95">
      <c r="A95" s="30"/>
      <c r="B95" s="23"/>
      <c r="C95" s="23"/>
    </row>
    <row r="96">
      <c r="A96" s="30"/>
      <c r="B96" s="23"/>
      <c r="C96" s="23"/>
    </row>
    <row r="97">
      <c r="A97" s="30"/>
      <c r="B97" s="23"/>
      <c r="C97" s="23"/>
    </row>
    <row r="98">
      <c r="A98" s="30"/>
      <c r="B98" s="23"/>
      <c r="C98" s="23"/>
    </row>
    <row r="99">
      <c r="A99" s="30"/>
      <c r="B99" s="23"/>
      <c r="C99" s="23"/>
    </row>
    <row r="100">
      <c r="A100" s="30"/>
      <c r="B100" s="23"/>
      <c r="C100" s="23"/>
    </row>
    <row r="101">
      <c r="A101" s="30"/>
      <c r="B101" s="23"/>
      <c r="C101" s="23"/>
    </row>
    <row r="102">
      <c r="A102" s="30"/>
      <c r="B102" s="23"/>
      <c r="C102" s="23"/>
    </row>
    <row r="103">
      <c r="A103" s="30"/>
      <c r="B103" s="23"/>
      <c r="C103" s="23"/>
    </row>
    <row r="104">
      <c r="A104" s="30"/>
      <c r="B104" s="23"/>
      <c r="C104" s="23"/>
    </row>
    <row r="105">
      <c r="A105" s="30"/>
      <c r="B105" s="23"/>
      <c r="C105" s="23"/>
    </row>
    <row r="106">
      <c r="A106" s="30"/>
      <c r="B106" s="23"/>
      <c r="C106" s="23"/>
    </row>
    <row r="107">
      <c r="A107" s="30"/>
      <c r="B107" s="23"/>
      <c r="C107" s="23"/>
    </row>
    <row r="108">
      <c r="A108" s="30"/>
      <c r="B108" s="23"/>
      <c r="C108" s="23"/>
    </row>
    <row r="109">
      <c r="A109" s="30"/>
      <c r="B109" s="23"/>
      <c r="C109" s="23"/>
    </row>
    <row r="110">
      <c r="A110" s="30"/>
      <c r="B110" s="23"/>
      <c r="C110" s="23"/>
    </row>
    <row r="111">
      <c r="A111" s="30"/>
      <c r="B111" s="23"/>
      <c r="C111" s="23"/>
    </row>
    <row r="112">
      <c r="A112" s="30"/>
      <c r="B112" s="23"/>
      <c r="C112" s="23"/>
    </row>
    <row r="113">
      <c r="A113" s="30"/>
      <c r="B113" s="23"/>
      <c r="C113" s="23"/>
    </row>
    <row r="114">
      <c r="A114" s="30"/>
      <c r="B114" s="23"/>
      <c r="C114" s="23"/>
    </row>
    <row r="115">
      <c r="A115" s="30"/>
      <c r="B115" s="23"/>
      <c r="C115" s="23"/>
    </row>
    <row r="116">
      <c r="A116" s="30"/>
      <c r="B116" s="23"/>
      <c r="C116" s="23"/>
    </row>
    <row r="117">
      <c r="A117" s="30"/>
      <c r="B117" s="23"/>
      <c r="C117" s="23"/>
    </row>
    <row r="118">
      <c r="A118" s="30"/>
      <c r="B118" s="23"/>
      <c r="C118" s="23"/>
    </row>
    <row r="119">
      <c r="A119" s="30"/>
      <c r="B119" s="23"/>
      <c r="C119" s="23"/>
    </row>
    <row r="120">
      <c r="A120" s="30"/>
      <c r="B120" s="23"/>
      <c r="C120" s="23"/>
    </row>
    <row r="121">
      <c r="A121" s="30"/>
      <c r="B121" s="23"/>
      <c r="C121" s="23"/>
    </row>
    <row r="122">
      <c r="A122" s="30"/>
      <c r="B122" s="23"/>
      <c r="C122" s="23"/>
    </row>
    <row r="123">
      <c r="A123" s="30"/>
      <c r="B123" s="23"/>
      <c r="C123" s="23"/>
    </row>
    <row r="124">
      <c r="A124" s="30"/>
      <c r="B124" s="23"/>
      <c r="C124" s="23"/>
    </row>
    <row r="125">
      <c r="A125" s="30"/>
      <c r="B125" s="23"/>
      <c r="C125" s="23"/>
    </row>
    <row r="126">
      <c r="A126" s="30"/>
      <c r="B126" s="23"/>
      <c r="C126" s="23"/>
    </row>
    <row r="127">
      <c r="A127" s="30"/>
      <c r="B127" s="23"/>
      <c r="C127" s="23"/>
    </row>
    <row r="128">
      <c r="A128" s="30"/>
      <c r="B128" s="23"/>
      <c r="C128" s="23"/>
    </row>
    <row r="129">
      <c r="A129" s="30"/>
      <c r="B129" s="23"/>
      <c r="C129" s="23"/>
    </row>
    <row r="130">
      <c r="A130" s="30"/>
      <c r="B130" s="23"/>
      <c r="C130" s="23"/>
    </row>
    <row r="131">
      <c r="A131" s="30"/>
      <c r="B131" s="23"/>
      <c r="C131" s="23"/>
    </row>
    <row r="132">
      <c r="A132" s="30"/>
      <c r="B132" s="23"/>
      <c r="C132" s="23"/>
    </row>
    <row r="133">
      <c r="A133" s="30"/>
      <c r="B133" s="23"/>
      <c r="C133" s="23"/>
    </row>
    <row r="134">
      <c r="A134" s="30"/>
      <c r="B134" s="23"/>
      <c r="C134" s="23"/>
    </row>
    <row r="135">
      <c r="A135" s="30"/>
      <c r="B135" s="23"/>
      <c r="C135" s="23"/>
    </row>
    <row r="136">
      <c r="A136" s="30"/>
      <c r="B136" s="23"/>
      <c r="C136" s="23"/>
    </row>
    <row r="137">
      <c r="A137" s="30"/>
      <c r="B137" s="23"/>
      <c r="C137" s="23"/>
    </row>
    <row r="138">
      <c r="A138" s="30"/>
      <c r="B138" s="23"/>
      <c r="C138" s="23"/>
    </row>
    <row r="139">
      <c r="A139" s="30"/>
      <c r="B139" s="23"/>
      <c r="C139" s="23"/>
    </row>
    <row r="140">
      <c r="A140" s="30"/>
      <c r="B140" s="23"/>
      <c r="C140" s="23"/>
    </row>
    <row r="141">
      <c r="A141" s="30"/>
      <c r="B141" s="23"/>
      <c r="C141" s="23"/>
    </row>
    <row r="142">
      <c r="A142" s="30"/>
      <c r="B142" s="23"/>
      <c r="C142" s="23"/>
    </row>
    <row r="143">
      <c r="A143" s="30"/>
      <c r="B143" s="23"/>
      <c r="C143" s="23"/>
    </row>
    <row r="144">
      <c r="A144" s="30"/>
      <c r="B144" s="23"/>
      <c r="C144" s="23"/>
    </row>
    <row r="145">
      <c r="A145" s="30"/>
      <c r="B145" s="23"/>
      <c r="C145" s="23"/>
    </row>
    <row r="146">
      <c r="A146" s="30"/>
      <c r="B146" s="23"/>
      <c r="C146" s="23"/>
    </row>
    <row r="147">
      <c r="A147" s="30"/>
      <c r="B147" s="23"/>
      <c r="C147" s="23"/>
    </row>
    <row r="148">
      <c r="A148" s="30"/>
      <c r="B148" s="23"/>
      <c r="C148" s="23"/>
    </row>
    <row r="149">
      <c r="A149" s="30"/>
      <c r="B149" s="23"/>
      <c r="C149" s="23"/>
    </row>
    <row r="150">
      <c r="A150" s="30"/>
      <c r="B150" s="23"/>
      <c r="C150" s="23"/>
    </row>
    <row r="151">
      <c r="A151" s="30"/>
      <c r="B151" s="23"/>
      <c r="C151" s="23"/>
    </row>
    <row r="152">
      <c r="A152" s="30"/>
      <c r="B152" s="23"/>
      <c r="C152" s="23"/>
    </row>
    <row r="153">
      <c r="A153" s="30"/>
      <c r="B153" s="23"/>
      <c r="C153" s="23"/>
    </row>
    <row r="154">
      <c r="A154" s="30"/>
      <c r="B154" s="23"/>
      <c r="C154" s="23"/>
    </row>
    <row r="155">
      <c r="A155" s="30"/>
      <c r="B155" s="23"/>
      <c r="C155" s="23"/>
    </row>
    <row r="156">
      <c r="A156" s="30"/>
      <c r="B156" s="23"/>
      <c r="C156" s="23"/>
    </row>
    <row r="157">
      <c r="A157" s="30"/>
      <c r="B157" s="23"/>
      <c r="C157" s="23"/>
    </row>
    <row r="158">
      <c r="A158" s="30"/>
      <c r="B158" s="23"/>
      <c r="C158" s="23"/>
    </row>
    <row r="159">
      <c r="A159" s="30"/>
      <c r="B159" s="23"/>
      <c r="C159" s="23"/>
    </row>
    <row r="160">
      <c r="A160" s="30"/>
      <c r="B160" s="23"/>
      <c r="C160" s="23"/>
    </row>
    <row r="161">
      <c r="A161" s="30"/>
      <c r="B161" s="23"/>
      <c r="C161" s="23"/>
    </row>
    <row r="162">
      <c r="A162" s="30"/>
      <c r="B162" s="23"/>
      <c r="C162" s="23"/>
    </row>
    <row r="163">
      <c r="A163" s="30"/>
      <c r="B163" s="23"/>
      <c r="C163" s="23"/>
    </row>
    <row r="164">
      <c r="A164" s="30"/>
      <c r="B164" s="23"/>
      <c r="C164" s="23"/>
    </row>
    <row r="165">
      <c r="A165" s="30"/>
      <c r="B165" s="23"/>
      <c r="C165" s="23"/>
    </row>
    <row r="166">
      <c r="A166" s="30"/>
      <c r="B166" s="23"/>
      <c r="C166" s="23"/>
    </row>
    <row r="167">
      <c r="A167" s="30"/>
      <c r="B167" s="23"/>
      <c r="C167" s="23"/>
    </row>
    <row r="168">
      <c r="A168" s="30"/>
      <c r="B168" s="23"/>
      <c r="C168" s="23"/>
    </row>
    <row r="169">
      <c r="A169" s="30"/>
      <c r="B169" s="23"/>
      <c r="C169" s="23"/>
    </row>
    <row r="170">
      <c r="A170" s="30"/>
      <c r="B170" s="23"/>
      <c r="C170" s="23"/>
    </row>
    <row r="171">
      <c r="A171" s="30"/>
      <c r="B171" s="23"/>
      <c r="C171" s="23"/>
    </row>
    <row r="172">
      <c r="A172" s="30"/>
      <c r="B172" s="23"/>
      <c r="C172" s="23"/>
    </row>
    <row r="173">
      <c r="A173" s="30"/>
      <c r="B173" s="23"/>
      <c r="C173" s="23"/>
    </row>
    <row r="174">
      <c r="A174" s="30"/>
      <c r="B174" s="23"/>
      <c r="C174" s="23"/>
    </row>
    <row r="175">
      <c r="A175" s="30"/>
      <c r="B175" s="23"/>
      <c r="C175" s="23"/>
    </row>
    <row r="176">
      <c r="A176" s="30"/>
      <c r="B176" s="23"/>
      <c r="C176" s="23"/>
    </row>
    <row r="177">
      <c r="A177" s="30"/>
      <c r="B177" s="23"/>
      <c r="C177" s="23"/>
    </row>
    <row r="178">
      <c r="A178" s="30"/>
      <c r="B178" s="23"/>
      <c r="C178" s="23"/>
    </row>
    <row r="179">
      <c r="A179" s="30"/>
      <c r="B179" s="23"/>
      <c r="C179" s="23"/>
    </row>
    <row r="180">
      <c r="A180" s="30"/>
      <c r="B180" s="23"/>
      <c r="C180" s="23"/>
    </row>
    <row r="181">
      <c r="A181" s="30"/>
      <c r="B181" s="23"/>
      <c r="C181" s="23"/>
    </row>
    <row r="182">
      <c r="A182" s="30"/>
      <c r="B182" s="23"/>
      <c r="C182" s="23"/>
    </row>
    <row r="183">
      <c r="A183" s="30"/>
      <c r="B183" s="23"/>
      <c r="C183" s="23"/>
    </row>
    <row r="184">
      <c r="A184" s="30"/>
      <c r="B184" s="23"/>
      <c r="C184" s="23"/>
    </row>
    <row r="185">
      <c r="A185" s="30"/>
      <c r="B185" s="23"/>
      <c r="C185" s="23"/>
    </row>
    <row r="186">
      <c r="A186" s="30"/>
      <c r="B186" s="23"/>
      <c r="C186" s="23"/>
    </row>
    <row r="187">
      <c r="A187" s="30"/>
      <c r="B187" s="23"/>
      <c r="C187" s="23"/>
    </row>
    <row r="188">
      <c r="A188" s="30"/>
      <c r="B188" s="23"/>
      <c r="C188" s="23"/>
    </row>
    <row r="189">
      <c r="A189" s="30"/>
      <c r="B189" s="23"/>
      <c r="C189" s="23"/>
    </row>
    <row r="190">
      <c r="A190" s="30"/>
      <c r="B190" s="23"/>
      <c r="C190" s="23"/>
    </row>
    <row r="191">
      <c r="A191" s="30"/>
      <c r="B191" s="23"/>
      <c r="C191" s="23"/>
    </row>
    <row r="192">
      <c r="A192" s="30"/>
      <c r="B192" s="23"/>
      <c r="C192" s="23"/>
    </row>
    <row r="193">
      <c r="A193" s="30"/>
      <c r="B193" s="23"/>
      <c r="C193" s="23"/>
    </row>
    <row r="194">
      <c r="A194" s="30"/>
      <c r="B194" s="23"/>
      <c r="C194" s="23"/>
    </row>
    <row r="195">
      <c r="A195" s="30"/>
      <c r="B195" s="23"/>
      <c r="C195" s="23"/>
    </row>
    <row r="196">
      <c r="A196" s="30"/>
      <c r="B196" s="23"/>
      <c r="C196" s="23"/>
    </row>
    <row r="197">
      <c r="A197" s="30"/>
      <c r="B197" s="23"/>
      <c r="C197" s="23"/>
    </row>
    <row r="198">
      <c r="A198" s="30"/>
      <c r="B198" s="23"/>
      <c r="C198" s="23"/>
    </row>
    <row r="199">
      <c r="A199" s="30"/>
      <c r="B199" s="23"/>
      <c r="C199" s="23"/>
    </row>
    <row r="200">
      <c r="A200" s="30"/>
      <c r="B200" s="23"/>
      <c r="C200" s="23"/>
    </row>
    <row r="201">
      <c r="A201" s="30"/>
      <c r="B201" s="23"/>
      <c r="C201" s="23"/>
    </row>
    <row r="202">
      <c r="A202" s="30"/>
      <c r="B202" s="23"/>
      <c r="C202" s="23"/>
    </row>
    <row r="203">
      <c r="A203" s="30"/>
      <c r="B203" s="23"/>
      <c r="C203" s="23"/>
    </row>
    <row r="204">
      <c r="A204" s="30"/>
      <c r="B204" s="23"/>
      <c r="C204" s="23"/>
    </row>
    <row r="205">
      <c r="A205" s="30"/>
      <c r="B205" s="23"/>
      <c r="C205" s="23"/>
    </row>
    <row r="206">
      <c r="A206" s="30"/>
      <c r="B206" s="23"/>
      <c r="C206" s="23"/>
    </row>
    <row r="207">
      <c r="A207" s="30"/>
      <c r="B207" s="23"/>
      <c r="C207" s="23"/>
    </row>
    <row r="208">
      <c r="A208" s="30"/>
      <c r="B208" s="23"/>
      <c r="C208" s="23"/>
    </row>
    <row r="209">
      <c r="A209" s="30"/>
      <c r="B209" s="23"/>
      <c r="C209" s="23"/>
    </row>
    <row r="210">
      <c r="A210" s="30"/>
      <c r="B210" s="23"/>
      <c r="C210" s="23"/>
    </row>
    <row r="211">
      <c r="A211" s="30"/>
      <c r="B211" s="23"/>
      <c r="C211" s="23"/>
    </row>
    <row r="212">
      <c r="A212" s="30"/>
      <c r="B212" s="23"/>
      <c r="C212" s="23"/>
    </row>
    <row r="213">
      <c r="A213" s="30"/>
      <c r="B213" s="23"/>
      <c r="C213" s="23"/>
    </row>
    <row r="214">
      <c r="A214" s="30"/>
      <c r="B214" s="23"/>
      <c r="C214" s="23"/>
    </row>
    <row r="215">
      <c r="A215" s="30"/>
      <c r="B215" s="23"/>
      <c r="C215" s="23"/>
    </row>
    <row r="216">
      <c r="A216" s="30"/>
      <c r="B216" s="23"/>
      <c r="C216" s="23"/>
    </row>
    <row r="217">
      <c r="A217" s="30"/>
      <c r="B217" s="23"/>
      <c r="C217" s="23"/>
    </row>
    <row r="218">
      <c r="A218" s="30"/>
      <c r="B218" s="23"/>
      <c r="C218" s="23"/>
    </row>
    <row r="219">
      <c r="A219" s="30"/>
      <c r="B219" s="23"/>
      <c r="C219" s="23"/>
    </row>
    <row r="220">
      <c r="A220" s="30"/>
      <c r="B220" s="23"/>
      <c r="C220" s="23"/>
    </row>
    <row r="221">
      <c r="A221" s="30"/>
      <c r="B221" s="23"/>
      <c r="C221" s="23"/>
    </row>
    <row r="222">
      <c r="A222" s="30"/>
      <c r="B222" s="23"/>
      <c r="C222" s="23"/>
    </row>
    <row r="223">
      <c r="A223" s="30"/>
      <c r="B223" s="23"/>
      <c r="C223" s="23"/>
    </row>
    <row r="224">
      <c r="A224" s="30"/>
      <c r="B224" s="23"/>
      <c r="C224" s="23"/>
    </row>
    <row r="225">
      <c r="A225" s="30"/>
      <c r="B225" s="23"/>
      <c r="C225" s="23"/>
    </row>
    <row r="226">
      <c r="A226" s="30"/>
      <c r="B226" s="23"/>
      <c r="C226" s="23"/>
    </row>
    <row r="227">
      <c r="A227" s="30"/>
      <c r="B227" s="23"/>
      <c r="C227" s="23"/>
    </row>
    <row r="228">
      <c r="A228" s="30"/>
      <c r="B228" s="23"/>
      <c r="C228" s="23"/>
    </row>
    <row r="229">
      <c r="A229" s="30"/>
      <c r="B229" s="23"/>
      <c r="C229" s="23"/>
    </row>
    <row r="230">
      <c r="A230" s="30"/>
      <c r="B230" s="23"/>
      <c r="C230" s="23"/>
    </row>
    <row r="231">
      <c r="A231" s="30"/>
      <c r="B231" s="23"/>
      <c r="C231" s="23"/>
    </row>
    <row r="232">
      <c r="A232" s="30"/>
      <c r="B232" s="23"/>
      <c r="C232" s="23"/>
    </row>
    <row r="233">
      <c r="A233" s="30"/>
      <c r="B233" s="23"/>
      <c r="C233" s="23"/>
    </row>
    <row r="234">
      <c r="A234" s="30"/>
      <c r="B234" s="23"/>
      <c r="C234" s="23"/>
    </row>
    <row r="235">
      <c r="A235" s="30"/>
      <c r="B235" s="23"/>
      <c r="C235" s="23"/>
    </row>
    <row r="236">
      <c r="A236" s="30"/>
      <c r="B236" s="23"/>
      <c r="C236" s="23"/>
    </row>
    <row r="237">
      <c r="A237" s="30"/>
      <c r="B237" s="23"/>
      <c r="C237" s="23"/>
    </row>
    <row r="238">
      <c r="A238" s="30"/>
      <c r="B238" s="23"/>
      <c r="C238" s="23"/>
    </row>
    <row r="239">
      <c r="A239" s="30"/>
      <c r="B239" s="23"/>
      <c r="C239" s="23"/>
    </row>
    <row r="240">
      <c r="A240" s="30"/>
      <c r="B240" s="23"/>
      <c r="C240" s="23"/>
    </row>
    <row r="241">
      <c r="A241" s="30"/>
      <c r="B241" s="23"/>
      <c r="C241" s="23"/>
    </row>
    <row r="242">
      <c r="A242" s="30"/>
      <c r="B242" s="23"/>
      <c r="C242" s="23"/>
    </row>
    <row r="243">
      <c r="A243" s="30"/>
      <c r="B243" s="23"/>
      <c r="C243" s="23"/>
    </row>
    <row r="244">
      <c r="A244" s="30"/>
      <c r="B244" s="23"/>
      <c r="C244" s="23"/>
    </row>
    <row r="245">
      <c r="A245" s="30"/>
      <c r="B245" s="23"/>
      <c r="C245" s="23"/>
    </row>
    <row r="246">
      <c r="A246" s="30"/>
      <c r="B246" s="23"/>
      <c r="C246" s="23"/>
    </row>
    <row r="247">
      <c r="A247" s="30"/>
      <c r="B247" s="23"/>
      <c r="C247" s="23"/>
    </row>
    <row r="248">
      <c r="A248" s="30"/>
      <c r="B248" s="23"/>
      <c r="C248" s="23"/>
    </row>
    <row r="249">
      <c r="A249" s="30"/>
      <c r="B249" s="23"/>
      <c r="C249" s="23"/>
    </row>
    <row r="250">
      <c r="A250" s="30"/>
      <c r="B250" s="23"/>
      <c r="C250" s="23"/>
    </row>
    <row r="251">
      <c r="A251" s="30"/>
      <c r="B251" s="23"/>
      <c r="C251" s="23"/>
    </row>
    <row r="252">
      <c r="A252" s="30"/>
      <c r="B252" s="23"/>
      <c r="C252" s="23"/>
    </row>
    <row r="253">
      <c r="A253" s="30"/>
      <c r="B253" s="23"/>
      <c r="C253" s="23"/>
    </row>
    <row r="254">
      <c r="A254" s="30"/>
      <c r="B254" s="23"/>
      <c r="C254" s="23"/>
    </row>
    <row r="255">
      <c r="A255" s="30"/>
      <c r="B255" s="23"/>
      <c r="C255" s="23"/>
    </row>
    <row r="256">
      <c r="A256" s="30"/>
      <c r="B256" s="23"/>
      <c r="C256" s="23"/>
    </row>
    <row r="257">
      <c r="A257" s="30"/>
      <c r="B257" s="23"/>
      <c r="C257" s="23"/>
    </row>
    <row r="258">
      <c r="A258" s="30"/>
      <c r="B258" s="23"/>
      <c r="C258" s="23"/>
    </row>
    <row r="259">
      <c r="A259" s="30"/>
      <c r="B259" s="23"/>
      <c r="C259" s="23"/>
    </row>
    <row r="260">
      <c r="A260" s="30"/>
      <c r="B260" s="23"/>
      <c r="C260" s="23"/>
    </row>
    <row r="261">
      <c r="A261" s="30"/>
      <c r="B261" s="23"/>
      <c r="C261" s="23"/>
    </row>
    <row r="262">
      <c r="A262" s="30"/>
      <c r="B262" s="23"/>
      <c r="C262" s="23"/>
    </row>
    <row r="263">
      <c r="A263" s="30"/>
      <c r="B263" s="23"/>
      <c r="C263" s="23"/>
    </row>
    <row r="264">
      <c r="A264" s="30"/>
      <c r="B264" s="23"/>
      <c r="C264" s="23"/>
    </row>
    <row r="265">
      <c r="A265" s="30"/>
      <c r="B265" s="23"/>
      <c r="C265" s="23"/>
    </row>
    <row r="266">
      <c r="A266" s="30"/>
      <c r="B266" s="23"/>
      <c r="C266" s="23"/>
    </row>
    <row r="267">
      <c r="A267" s="30"/>
      <c r="B267" s="23"/>
      <c r="C267" s="23"/>
    </row>
    <row r="268">
      <c r="A268" s="30"/>
      <c r="B268" s="23"/>
      <c r="C268" s="23"/>
    </row>
    <row r="269">
      <c r="A269" s="30"/>
      <c r="B269" s="23"/>
      <c r="C269" s="23"/>
    </row>
    <row r="270">
      <c r="A270" s="30"/>
      <c r="B270" s="23"/>
      <c r="C270" s="23"/>
    </row>
    <row r="271">
      <c r="A271" s="30"/>
      <c r="B271" s="23"/>
      <c r="C271" s="23"/>
    </row>
    <row r="272">
      <c r="A272" s="30"/>
      <c r="B272" s="23"/>
      <c r="C272" s="23"/>
    </row>
    <row r="273">
      <c r="A273" s="30"/>
      <c r="B273" s="23"/>
      <c r="C273" s="23"/>
    </row>
    <row r="274">
      <c r="A274" s="30"/>
      <c r="B274" s="23"/>
      <c r="C274" s="23"/>
    </row>
    <row r="275">
      <c r="A275" s="30"/>
      <c r="B275" s="23"/>
      <c r="C275" s="23"/>
    </row>
    <row r="276">
      <c r="A276" s="30"/>
      <c r="B276" s="23"/>
      <c r="C276" s="23"/>
    </row>
    <row r="277">
      <c r="A277" s="30"/>
      <c r="B277" s="23"/>
      <c r="C277" s="23"/>
    </row>
    <row r="278">
      <c r="A278" s="30"/>
      <c r="B278" s="23"/>
      <c r="C278" s="23"/>
    </row>
    <row r="279">
      <c r="A279" s="30"/>
      <c r="B279" s="23"/>
      <c r="C279" s="23"/>
    </row>
    <row r="280">
      <c r="A280" s="30"/>
      <c r="B280" s="23"/>
      <c r="C280" s="23"/>
    </row>
    <row r="281">
      <c r="A281" s="30"/>
      <c r="B281" s="23"/>
      <c r="C281" s="23"/>
    </row>
    <row r="282">
      <c r="A282" s="30"/>
      <c r="B282" s="23"/>
      <c r="C282" s="23"/>
    </row>
    <row r="283">
      <c r="A283" s="30"/>
      <c r="B283" s="23"/>
      <c r="C283" s="23"/>
    </row>
    <row r="284">
      <c r="A284" s="30"/>
      <c r="B284" s="23"/>
      <c r="C284" s="23"/>
    </row>
    <row r="285">
      <c r="A285" s="30"/>
      <c r="B285" s="23"/>
      <c r="C285" s="23"/>
    </row>
    <row r="286">
      <c r="A286" s="30"/>
      <c r="B286" s="23"/>
      <c r="C286" s="23"/>
    </row>
    <row r="287">
      <c r="A287" s="30"/>
      <c r="B287" s="23"/>
      <c r="C287" s="23"/>
    </row>
    <row r="288">
      <c r="A288" s="30"/>
      <c r="B288" s="23"/>
      <c r="C288" s="23"/>
    </row>
    <row r="289">
      <c r="A289" s="30"/>
      <c r="B289" s="23"/>
      <c r="C289" s="23"/>
    </row>
    <row r="290">
      <c r="A290" s="30"/>
      <c r="B290" s="23"/>
      <c r="C290" s="23"/>
    </row>
    <row r="291">
      <c r="A291" s="30"/>
      <c r="B291" s="23"/>
      <c r="C291" s="23"/>
    </row>
    <row r="292">
      <c r="A292" s="30"/>
      <c r="B292" s="23"/>
      <c r="C292" s="23"/>
    </row>
    <row r="293">
      <c r="A293" s="30"/>
      <c r="B293" s="23"/>
      <c r="C293" s="23"/>
    </row>
    <row r="294">
      <c r="A294" s="30"/>
      <c r="B294" s="23"/>
      <c r="C294" s="23"/>
    </row>
    <row r="295">
      <c r="A295" s="30"/>
      <c r="B295" s="23"/>
      <c r="C295" s="23"/>
    </row>
    <row r="296">
      <c r="A296" s="30"/>
      <c r="B296" s="23"/>
      <c r="C296" s="23"/>
    </row>
    <row r="297">
      <c r="A297" s="30"/>
      <c r="B297" s="23"/>
      <c r="C297" s="23"/>
    </row>
    <row r="298">
      <c r="A298" s="30"/>
      <c r="B298" s="23"/>
      <c r="C298" s="23"/>
    </row>
    <row r="299">
      <c r="A299" s="30"/>
      <c r="B299" s="23"/>
      <c r="C299" s="23"/>
    </row>
    <row r="300">
      <c r="A300" s="30"/>
      <c r="B300" s="23"/>
      <c r="C300" s="23"/>
    </row>
    <row r="301">
      <c r="A301" s="30"/>
      <c r="B301" s="23"/>
      <c r="C301" s="23"/>
    </row>
    <row r="302">
      <c r="A302" s="30"/>
      <c r="B302" s="23"/>
      <c r="C302" s="23"/>
    </row>
    <row r="303">
      <c r="A303" s="30"/>
      <c r="B303" s="23"/>
      <c r="C303" s="23"/>
    </row>
    <row r="304">
      <c r="A304" s="30"/>
      <c r="B304" s="23"/>
      <c r="C304" s="23"/>
    </row>
    <row r="305">
      <c r="A305" s="30"/>
      <c r="B305" s="23"/>
      <c r="C305" s="23"/>
    </row>
    <row r="306">
      <c r="A306" s="30"/>
      <c r="B306" s="23"/>
      <c r="C306" s="23"/>
    </row>
    <row r="307">
      <c r="A307" s="30"/>
      <c r="B307" s="23"/>
      <c r="C307" s="23"/>
    </row>
    <row r="308">
      <c r="A308" s="30"/>
      <c r="B308" s="23"/>
      <c r="C308" s="23"/>
    </row>
    <row r="309">
      <c r="A309" s="30"/>
      <c r="B309" s="23"/>
      <c r="C309" s="23"/>
    </row>
    <row r="310">
      <c r="A310" s="30"/>
      <c r="B310" s="23"/>
      <c r="C310" s="23"/>
    </row>
    <row r="311">
      <c r="A311" s="30"/>
      <c r="B311" s="23"/>
      <c r="C311" s="23"/>
    </row>
    <row r="312">
      <c r="A312" s="30"/>
      <c r="B312" s="23"/>
      <c r="C312" s="23"/>
    </row>
    <row r="313">
      <c r="A313" s="30"/>
      <c r="B313" s="23"/>
      <c r="C313" s="23"/>
    </row>
    <row r="314">
      <c r="A314" s="30"/>
      <c r="B314" s="23"/>
      <c r="C314" s="23"/>
    </row>
    <row r="315">
      <c r="A315" s="30"/>
      <c r="B315" s="23"/>
      <c r="C315" s="23"/>
    </row>
    <row r="316">
      <c r="A316" s="30"/>
      <c r="B316" s="23"/>
      <c r="C316" s="23"/>
    </row>
    <row r="317">
      <c r="A317" s="30"/>
      <c r="B317" s="23"/>
      <c r="C317" s="23"/>
    </row>
    <row r="318">
      <c r="A318" s="30"/>
      <c r="B318" s="23"/>
      <c r="C318" s="23"/>
    </row>
    <row r="319">
      <c r="A319" s="30"/>
      <c r="B319" s="23"/>
      <c r="C319" s="23"/>
    </row>
    <row r="320">
      <c r="A320" s="30"/>
      <c r="B320" s="23"/>
      <c r="C320" s="23"/>
    </row>
    <row r="321">
      <c r="A321" s="30"/>
      <c r="B321" s="23"/>
      <c r="C321" s="23"/>
    </row>
    <row r="322">
      <c r="A322" s="30"/>
      <c r="B322" s="23"/>
      <c r="C322" s="23"/>
    </row>
    <row r="323">
      <c r="A323" s="30"/>
      <c r="B323" s="23"/>
      <c r="C323" s="23"/>
    </row>
    <row r="324">
      <c r="A324" s="30"/>
      <c r="B324" s="23"/>
      <c r="C324" s="23"/>
    </row>
    <row r="325">
      <c r="A325" s="30"/>
      <c r="B325" s="23"/>
      <c r="C325" s="23"/>
    </row>
    <row r="326">
      <c r="A326" s="30"/>
      <c r="B326" s="23"/>
      <c r="C326" s="23"/>
    </row>
    <row r="327">
      <c r="A327" s="30"/>
      <c r="B327" s="23"/>
      <c r="C327" s="23"/>
    </row>
    <row r="328">
      <c r="A328" s="30"/>
      <c r="B328" s="23"/>
      <c r="C328" s="23"/>
    </row>
    <row r="329">
      <c r="A329" s="30"/>
      <c r="B329" s="23"/>
      <c r="C329" s="23"/>
    </row>
    <row r="330">
      <c r="A330" s="30"/>
      <c r="B330" s="23"/>
      <c r="C330" s="23"/>
    </row>
    <row r="331">
      <c r="A331" s="30"/>
      <c r="B331" s="23"/>
      <c r="C331" s="23"/>
    </row>
    <row r="332">
      <c r="A332" s="30"/>
      <c r="B332" s="23"/>
      <c r="C332" s="23"/>
    </row>
    <row r="333">
      <c r="A333" s="30"/>
      <c r="B333" s="23"/>
      <c r="C333" s="23"/>
    </row>
    <row r="334">
      <c r="A334" s="30"/>
      <c r="B334" s="23"/>
      <c r="C334" s="23"/>
    </row>
    <row r="335">
      <c r="A335" s="30"/>
      <c r="B335" s="23"/>
      <c r="C335" s="23"/>
    </row>
    <row r="336">
      <c r="A336" s="30"/>
      <c r="B336" s="23"/>
      <c r="C336" s="23"/>
    </row>
    <row r="337">
      <c r="A337" s="30"/>
      <c r="B337" s="23"/>
      <c r="C337" s="23"/>
    </row>
    <row r="338">
      <c r="A338" s="30"/>
      <c r="B338" s="23"/>
      <c r="C338" s="23"/>
    </row>
    <row r="339">
      <c r="A339" s="30"/>
      <c r="B339" s="23"/>
      <c r="C339" s="23"/>
    </row>
    <row r="340">
      <c r="A340" s="30"/>
      <c r="B340" s="23"/>
      <c r="C340" s="23"/>
    </row>
    <row r="341">
      <c r="A341" s="30"/>
      <c r="B341" s="23"/>
      <c r="C341" s="23"/>
    </row>
    <row r="342">
      <c r="A342" s="30"/>
      <c r="B342" s="23"/>
      <c r="C342" s="23"/>
    </row>
    <row r="343">
      <c r="A343" s="30"/>
      <c r="B343" s="23"/>
      <c r="C343" s="23"/>
    </row>
    <row r="344">
      <c r="A344" s="30"/>
      <c r="B344" s="23"/>
      <c r="C344" s="23"/>
    </row>
    <row r="345">
      <c r="A345" s="30"/>
      <c r="B345" s="23"/>
      <c r="C345" s="23"/>
    </row>
    <row r="346">
      <c r="A346" s="30"/>
      <c r="B346" s="23"/>
      <c r="C346" s="23"/>
    </row>
    <row r="347">
      <c r="A347" s="30"/>
      <c r="B347" s="23"/>
      <c r="C347" s="23"/>
    </row>
    <row r="348">
      <c r="A348" s="30"/>
      <c r="B348" s="23"/>
      <c r="C348" s="23"/>
    </row>
    <row r="349">
      <c r="A349" s="30"/>
      <c r="B349" s="23"/>
      <c r="C349" s="23"/>
    </row>
    <row r="350">
      <c r="A350" s="30"/>
      <c r="B350" s="23"/>
      <c r="C350" s="23"/>
    </row>
    <row r="351">
      <c r="A351" s="30"/>
      <c r="B351" s="23"/>
      <c r="C351" s="23"/>
    </row>
    <row r="352">
      <c r="A352" s="30"/>
      <c r="B352" s="23"/>
      <c r="C352" s="23"/>
    </row>
    <row r="353">
      <c r="A353" s="30"/>
      <c r="B353" s="23"/>
      <c r="C353" s="23"/>
    </row>
    <row r="354">
      <c r="A354" s="30"/>
      <c r="B354" s="23"/>
      <c r="C354" s="23"/>
    </row>
    <row r="355">
      <c r="A355" s="30"/>
      <c r="B355" s="23"/>
      <c r="C355" s="23"/>
    </row>
    <row r="356">
      <c r="A356" s="30"/>
      <c r="B356" s="23"/>
      <c r="C356" s="23"/>
    </row>
    <row r="357">
      <c r="A357" s="30"/>
      <c r="B357" s="23"/>
      <c r="C357" s="23"/>
    </row>
    <row r="358">
      <c r="A358" s="30"/>
      <c r="B358" s="23"/>
      <c r="C358" s="23"/>
    </row>
    <row r="359">
      <c r="A359" s="30"/>
      <c r="B359" s="23"/>
      <c r="C359" s="23"/>
    </row>
    <row r="360">
      <c r="A360" s="30"/>
      <c r="B360" s="23"/>
      <c r="C360" s="23"/>
    </row>
    <row r="361">
      <c r="A361" s="30"/>
      <c r="B361" s="23"/>
      <c r="C361" s="23"/>
    </row>
    <row r="362">
      <c r="A362" s="30"/>
      <c r="B362" s="23"/>
      <c r="C362" s="23"/>
    </row>
    <row r="363">
      <c r="A363" s="30"/>
      <c r="B363" s="23"/>
      <c r="C363" s="23"/>
    </row>
    <row r="364">
      <c r="A364" s="30"/>
      <c r="B364" s="23"/>
      <c r="C364" s="23"/>
    </row>
    <row r="365">
      <c r="A365" s="30"/>
      <c r="B365" s="23"/>
      <c r="C365" s="23"/>
    </row>
    <row r="366">
      <c r="A366" s="30"/>
      <c r="B366" s="23"/>
      <c r="C366" s="23"/>
    </row>
    <row r="367">
      <c r="A367" s="30"/>
      <c r="B367" s="23"/>
      <c r="C367" s="23"/>
    </row>
    <row r="368">
      <c r="A368" s="30"/>
      <c r="B368" s="23"/>
      <c r="C368" s="23"/>
    </row>
    <row r="369">
      <c r="A369" s="30"/>
      <c r="B369" s="23"/>
      <c r="C369" s="23"/>
    </row>
    <row r="370">
      <c r="A370" s="30"/>
      <c r="B370" s="23"/>
      <c r="C370" s="23"/>
    </row>
    <row r="371">
      <c r="A371" s="30"/>
      <c r="B371" s="23"/>
      <c r="C371" s="23"/>
    </row>
    <row r="372">
      <c r="A372" s="30"/>
      <c r="B372" s="23"/>
      <c r="C372" s="23"/>
    </row>
    <row r="373">
      <c r="A373" s="30"/>
      <c r="B373" s="23"/>
      <c r="C373" s="23"/>
    </row>
    <row r="374">
      <c r="A374" s="30"/>
      <c r="B374" s="23"/>
      <c r="C374" s="23"/>
    </row>
    <row r="375">
      <c r="A375" s="30"/>
      <c r="B375" s="23"/>
      <c r="C375" s="23"/>
    </row>
    <row r="376">
      <c r="A376" s="30"/>
      <c r="B376" s="23"/>
      <c r="C376" s="23"/>
    </row>
    <row r="377">
      <c r="A377" s="30"/>
      <c r="B377" s="23"/>
      <c r="C377" s="23"/>
    </row>
    <row r="378">
      <c r="A378" s="30"/>
      <c r="B378" s="23"/>
      <c r="C378" s="23"/>
    </row>
    <row r="379">
      <c r="A379" s="30"/>
      <c r="B379" s="23"/>
      <c r="C379" s="23"/>
    </row>
    <row r="380">
      <c r="A380" s="30"/>
      <c r="B380" s="23"/>
      <c r="C380" s="23"/>
    </row>
    <row r="381">
      <c r="A381" s="30"/>
      <c r="B381" s="23"/>
      <c r="C381" s="23"/>
    </row>
    <row r="382">
      <c r="A382" s="30"/>
      <c r="B382" s="23"/>
      <c r="C382" s="23"/>
    </row>
    <row r="383">
      <c r="A383" s="30"/>
      <c r="B383" s="23"/>
      <c r="C383" s="23"/>
    </row>
    <row r="384">
      <c r="A384" s="30"/>
      <c r="B384" s="23"/>
      <c r="C384" s="23"/>
    </row>
    <row r="385">
      <c r="A385" s="30"/>
      <c r="B385" s="23"/>
      <c r="C385" s="23"/>
    </row>
    <row r="386">
      <c r="A386" s="30"/>
      <c r="B386" s="23"/>
      <c r="C386" s="23"/>
    </row>
    <row r="387">
      <c r="A387" s="30"/>
      <c r="B387" s="23"/>
      <c r="C387" s="23"/>
    </row>
    <row r="388">
      <c r="A388" s="30"/>
      <c r="B388" s="23"/>
      <c r="C388" s="23"/>
    </row>
    <row r="389">
      <c r="A389" s="30"/>
      <c r="B389" s="23"/>
      <c r="C389" s="23"/>
    </row>
    <row r="390">
      <c r="A390" s="30"/>
      <c r="B390" s="23"/>
      <c r="C390" s="23"/>
    </row>
    <row r="391">
      <c r="A391" s="30"/>
      <c r="B391" s="23"/>
      <c r="C391" s="23"/>
    </row>
    <row r="392">
      <c r="A392" s="30"/>
      <c r="B392" s="23"/>
      <c r="C392" s="23"/>
    </row>
    <row r="393">
      <c r="A393" s="30"/>
      <c r="B393" s="23"/>
      <c r="C393" s="23"/>
    </row>
    <row r="394">
      <c r="A394" s="30"/>
      <c r="B394" s="23"/>
      <c r="C394" s="23"/>
    </row>
    <row r="395">
      <c r="A395" s="30"/>
      <c r="B395" s="23"/>
      <c r="C395" s="23"/>
    </row>
    <row r="396">
      <c r="A396" s="30"/>
      <c r="B396" s="23"/>
      <c r="C396" s="23"/>
    </row>
    <row r="397">
      <c r="A397" s="30"/>
      <c r="B397" s="23"/>
      <c r="C397" s="23"/>
    </row>
    <row r="398">
      <c r="A398" s="30"/>
      <c r="B398" s="23"/>
      <c r="C398" s="23"/>
    </row>
    <row r="399">
      <c r="A399" s="30"/>
      <c r="B399" s="23"/>
      <c r="C399" s="23"/>
    </row>
    <row r="400">
      <c r="A400" s="30"/>
      <c r="B400" s="23"/>
      <c r="C400" s="23"/>
    </row>
    <row r="401">
      <c r="A401" s="30"/>
      <c r="B401" s="23"/>
      <c r="C401" s="23"/>
    </row>
    <row r="402">
      <c r="A402" s="30"/>
      <c r="B402" s="23"/>
      <c r="C402" s="23"/>
    </row>
    <row r="403">
      <c r="A403" s="30"/>
      <c r="B403" s="23"/>
      <c r="C403" s="23"/>
    </row>
    <row r="404">
      <c r="A404" s="30"/>
      <c r="B404" s="23"/>
      <c r="C404" s="23"/>
    </row>
    <row r="405">
      <c r="A405" s="30"/>
      <c r="B405" s="23"/>
      <c r="C405" s="23"/>
    </row>
    <row r="406">
      <c r="A406" s="30"/>
      <c r="B406" s="23"/>
      <c r="C406" s="23"/>
    </row>
    <row r="407">
      <c r="A407" s="30"/>
      <c r="B407" s="23"/>
      <c r="C407" s="23"/>
    </row>
    <row r="408">
      <c r="A408" s="30"/>
      <c r="B408" s="23"/>
      <c r="C408" s="23"/>
    </row>
    <row r="409">
      <c r="A409" s="30"/>
      <c r="B409" s="23"/>
      <c r="C409" s="23"/>
    </row>
    <row r="410">
      <c r="A410" s="30"/>
      <c r="B410" s="23"/>
      <c r="C410" s="23"/>
    </row>
    <row r="411">
      <c r="A411" s="30"/>
      <c r="B411" s="23"/>
      <c r="C411" s="23"/>
    </row>
    <row r="412">
      <c r="A412" s="30"/>
      <c r="B412" s="23"/>
      <c r="C412" s="23"/>
    </row>
    <row r="413">
      <c r="A413" s="30"/>
      <c r="B413" s="23"/>
      <c r="C413" s="23"/>
    </row>
    <row r="414">
      <c r="A414" s="30"/>
      <c r="B414" s="23"/>
      <c r="C414" s="23"/>
    </row>
    <row r="415">
      <c r="A415" s="30"/>
      <c r="B415" s="23"/>
      <c r="C415" s="23"/>
    </row>
    <row r="416">
      <c r="A416" s="30"/>
      <c r="B416" s="23"/>
      <c r="C416" s="23"/>
    </row>
    <row r="417">
      <c r="A417" s="30"/>
      <c r="B417" s="23"/>
      <c r="C417" s="23"/>
    </row>
    <row r="418">
      <c r="A418" s="30"/>
      <c r="B418" s="23"/>
      <c r="C418" s="23"/>
    </row>
    <row r="419">
      <c r="A419" s="30"/>
      <c r="B419" s="23"/>
      <c r="C419" s="23"/>
    </row>
    <row r="420">
      <c r="A420" s="30"/>
      <c r="B420" s="23"/>
      <c r="C420" s="23"/>
    </row>
    <row r="421">
      <c r="A421" s="30"/>
      <c r="B421" s="23"/>
      <c r="C421" s="23"/>
    </row>
    <row r="422">
      <c r="A422" s="30"/>
      <c r="B422" s="23"/>
      <c r="C422" s="23"/>
    </row>
    <row r="423">
      <c r="A423" s="30"/>
      <c r="B423" s="23"/>
      <c r="C423" s="23"/>
    </row>
    <row r="424">
      <c r="A424" s="30"/>
      <c r="B424" s="23"/>
      <c r="C424" s="23"/>
    </row>
    <row r="425">
      <c r="A425" s="30"/>
      <c r="B425" s="23"/>
      <c r="C425" s="23"/>
    </row>
    <row r="426">
      <c r="A426" s="30"/>
      <c r="B426" s="23"/>
      <c r="C426" s="23"/>
    </row>
    <row r="427">
      <c r="A427" s="30"/>
      <c r="B427" s="23"/>
      <c r="C427" s="23"/>
    </row>
    <row r="428">
      <c r="A428" s="30"/>
      <c r="B428" s="23"/>
      <c r="C428" s="23"/>
    </row>
    <row r="429">
      <c r="A429" s="30"/>
      <c r="B429" s="23"/>
      <c r="C429" s="23"/>
    </row>
    <row r="430">
      <c r="A430" s="30"/>
      <c r="B430" s="23"/>
      <c r="C430" s="23"/>
    </row>
    <row r="431">
      <c r="A431" s="30"/>
      <c r="B431" s="23"/>
      <c r="C431" s="23"/>
    </row>
    <row r="432">
      <c r="A432" s="30"/>
      <c r="B432" s="23"/>
      <c r="C432" s="23"/>
    </row>
    <row r="433">
      <c r="A433" s="30"/>
      <c r="B433" s="23"/>
      <c r="C433" s="23"/>
    </row>
    <row r="434">
      <c r="A434" s="30"/>
      <c r="B434" s="23"/>
      <c r="C434" s="23"/>
    </row>
    <row r="435">
      <c r="A435" s="30"/>
      <c r="B435" s="23"/>
      <c r="C435" s="23"/>
    </row>
    <row r="436">
      <c r="A436" s="30"/>
      <c r="B436" s="23"/>
      <c r="C436" s="23"/>
    </row>
    <row r="437">
      <c r="A437" s="30"/>
      <c r="B437" s="23"/>
      <c r="C437" s="23"/>
    </row>
    <row r="438">
      <c r="A438" s="30"/>
      <c r="B438" s="23"/>
      <c r="C438" s="23"/>
    </row>
    <row r="439">
      <c r="A439" s="30"/>
      <c r="B439" s="23"/>
      <c r="C439" s="23"/>
    </row>
    <row r="440">
      <c r="A440" s="30"/>
      <c r="B440" s="23"/>
      <c r="C440" s="23"/>
    </row>
    <row r="441">
      <c r="A441" s="30"/>
      <c r="B441" s="23"/>
      <c r="C441" s="23"/>
    </row>
    <row r="442">
      <c r="A442" s="30"/>
      <c r="B442" s="23"/>
      <c r="C442" s="23"/>
    </row>
    <row r="443">
      <c r="A443" s="30"/>
      <c r="B443" s="23"/>
      <c r="C443" s="23"/>
    </row>
    <row r="444">
      <c r="A444" s="30"/>
      <c r="B444" s="23"/>
      <c r="C444" s="23"/>
    </row>
    <row r="445">
      <c r="A445" s="30"/>
      <c r="B445" s="23"/>
      <c r="C445" s="23"/>
    </row>
    <row r="446">
      <c r="A446" s="30"/>
      <c r="B446" s="23"/>
      <c r="C446" s="23"/>
    </row>
    <row r="447">
      <c r="A447" s="30"/>
      <c r="B447" s="23"/>
      <c r="C447" s="23"/>
    </row>
    <row r="448">
      <c r="A448" s="30"/>
      <c r="B448" s="23"/>
      <c r="C448" s="23"/>
    </row>
    <row r="449">
      <c r="A449" s="30"/>
      <c r="B449" s="23"/>
      <c r="C449" s="23"/>
    </row>
    <row r="450">
      <c r="A450" s="30"/>
      <c r="B450" s="23"/>
      <c r="C450" s="23"/>
    </row>
    <row r="451">
      <c r="A451" s="30"/>
      <c r="B451" s="23"/>
      <c r="C451" s="23"/>
    </row>
    <row r="452">
      <c r="A452" s="30"/>
      <c r="B452" s="23"/>
      <c r="C452" s="23"/>
    </row>
    <row r="453">
      <c r="A453" s="30"/>
      <c r="B453" s="23"/>
      <c r="C453" s="23"/>
    </row>
    <row r="454">
      <c r="A454" s="30"/>
      <c r="B454" s="23"/>
      <c r="C454" s="23"/>
    </row>
    <row r="455">
      <c r="A455" s="30"/>
      <c r="B455" s="23"/>
      <c r="C455" s="23"/>
    </row>
    <row r="456">
      <c r="A456" s="30"/>
      <c r="B456" s="23"/>
      <c r="C456" s="23"/>
    </row>
    <row r="457">
      <c r="A457" s="30"/>
      <c r="B457" s="23"/>
      <c r="C457" s="23"/>
    </row>
    <row r="458">
      <c r="A458" s="30"/>
      <c r="B458" s="23"/>
      <c r="C458" s="23"/>
    </row>
    <row r="459">
      <c r="A459" s="30"/>
      <c r="B459" s="23"/>
      <c r="C459" s="23"/>
    </row>
    <row r="460">
      <c r="A460" s="30"/>
      <c r="B460" s="23"/>
      <c r="C460" s="23"/>
    </row>
    <row r="461">
      <c r="A461" s="30"/>
      <c r="B461" s="23"/>
      <c r="C461" s="23"/>
    </row>
    <row r="462">
      <c r="A462" s="30"/>
      <c r="B462" s="23"/>
      <c r="C462" s="23"/>
    </row>
    <row r="463">
      <c r="A463" s="30"/>
      <c r="B463" s="23"/>
      <c r="C463" s="23"/>
    </row>
    <row r="464">
      <c r="A464" s="30"/>
      <c r="B464" s="23"/>
      <c r="C464" s="23"/>
    </row>
    <row r="465">
      <c r="A465" s="30"/>
      <c r="B465" s="23"/>
      <c r="C465" s="23"/>
    </row>
    <row r="466">
      <c r="A466" s="30"/>
      <c r="B466" s="23"/>
      <c r="C466" s="23"/>
    </row>
    <row r="467">
      <c r="A467" s="30"/>
      <c r="B467" s="23"/>
      <c r="C467" s="23"/>
    </row>
    <row r="468">
      <c r="A468" s="30"/>
      <c r="B468" s="23"/>
      <c r="C468" s="23"/>
    </row>
    <row r="469">
      <c r="A469" s="30"/>
      <c r="B469" s="23"/>
      <c r="C469" s="23"/>
    </row>
    <row r="470">
      <c r="A470" s="30"/>
      <c r="B470" s="23"/>
      <c r="C470" s="23"/>
    </row>
    <row r="471">
      <c r="A471" s="30"/>
      <c r="B471" s="23"/>
      <c r="C471" s="23"/>
    </row>
    <row r="472">
      <c r="A472" s="30"/>
      <c r="B472" s="23"/>
      <c r="C472" s="23"/>
    </row>
    <row r="473">
      <c r="A473" s="30"/>
      <c r="B473" s="23"/>
      <c r="C473" s="23"/>
    </row>
    <row r="474">
      <c r="A474" s="30"/>
      <c r="B474" s="23"/>
      <c r="C474" s="23"/>
    </row>
    <row r="475">
      <c r="A475" s="30"/>
      <c r="B475" s="23"/>
      <c r="C475" s="23"/>
    </row>
    <row r="476">
      <c r="A476" s="30"/>
      <c r="B476" s="23"/>
      <c r="C476" s="23"/>
    </row>
    <row r="477">
      <c r="A477" s="30"/>
      <c r="B477" s="23"/>
      <c r="C477" s="23"/>
    </row>
    <row r="478">
      <c r="A478" s="30"/>
      <c r="B478" s="23"/>
      <c r="C478" s="23"/>
    </row>
    <row r="479">
      <c r="A479" s="30"/>
      <c r="B479" s="23"/>
      <c r="C479" s="23"/>
    </row>
    <row r="480">
      <c r="A480" s="30"/>
      <c r="B480" s="23"/>
      <c r="C480" s="23"/>
    </row>
    <row r="481">
      <c r="A481" s="30"/>
      <c r="B481" s="23"/>
      <c r="C481" s="23"/>
    </row>
    <row r="482">
      <c r="A482" s="30"/>
      <c r="B482" s="23"/>
      <c r="C482" s="23"/>
    </row>
    <row r="483">
      <c r="A483" s="30"/>
      <c r="B483" s="23"/>
      <c r="C483" s="23"/>
    </row>
    <row r="484">
      <c r="A484" s="30"/>
      <c r="B484" s="23"/>
      <c r="C484" s="23"/>
    </row>
    <row r="485">
      <c r="A485" s="30"/>
      <c r="B485" s="23"/>
      <c r="C485" s="23"/>
    </row>
    <row r="486">
      <c r="A486" s="30"/>
      <c r="B486" s="23"/>
      <c r="C486" s="23"/>
    </row>
    <row r="487">
      <c r="A487" s="30"/>
      <c r="B487" s="23"/>
      <c r="C487" s="23"/>
    </row>
    <row r="488">
      <c r="A488" s="30"/>
      <c r="B488" s="23"/>
      <c r="C488" s="23"/>
    </row>
    <row r="489">
      <c r="A489" s="30"/>
      <c r="B489" s="23"/>
      <c r="C489" s="23"/>
    </row>
    <row r="490">
      <c r="A490" s="30"/>
      <c r="B490" s="23"/>
      <c r="C490" s="23"/>
    </row>
    <row r="491">
      <c r="A491" s="30"/>
      <c r="B491" s="23"/>
      <c r="C491" s="23"/>
    </row>
    <row r="492">
      <c r="A492" s="30"/>
      <c r="B492" s="23"/>
      <c r="C492" s="23"/>
    </row>
    <row r="493">
      <c r="A493" s="30"/>
      <c r="B493" s="23"/>
      <c r="C493" s="23"/>
    </row>
    <row r="494">
      <c r="A494" s="30"/>
      <c r="B494" s="23"/>
      <c r="C494" s="23"/>
    </row>
    <row r="495">
      <c r="A495" s="30"/>
      <c r="B495" s="23"/>
      <c r="C495" s="23"/>
    </row>
    <row r="496">
      <c r="A496" s="30"/>
      <c r="B496" s="23"/>
      <c r="C496" s="23"/>
    </row>
    <row r="497">
      <c r="A497" s="30"/>
      <c r="B497" s="23"/>
      <c r="C497" s="23"/>
    </row>
    <row r="498">
      <c r="A498" s="30"/>
      <c r="B498" s="23"/>
      <c r="C498" s="23"/>
    </row>
    <row r="499">
      <c r="A499" s="30"/>
      <c r="B499" s="23"/>
      <c r="C499" s="23"/>
    </row>
    <row r="500">
      <c r="A500" s="30"/>
      <c r="B500" s="23"/>
      <c r="C500" s="23"/>
    </row>
    <row r="501">
      <c r="A501" s="30"/>
      <c r="B501" s="23"/>
      <c r="C501" s="23"/>
    </row>
    <row r="502">
      <c r="A502" s="30"/>
      <c r="B502" s="23"/>
      <c r="C502" s="23"/>
    </row>
    <row r="503">
      <c r="A503" s="30"/>
      <c r="B503" s="23"/>
      <c r="C503" s="23"/>
    </row>
    <row r="504">
      <c r="A504" s="30"/>
      <c r="B504" s="23"/>
      <c r="C504" s="23"/>
    </row>
    <row r="505">
      <c r="A505" s="30"/>
      <c r="B505" s="23"/>
      <c r="C505" s="23"/>
    </row>
    <row r="506">
      <c r="A506" s="30"/>
      <c r="B506" s="23"/>
      <c r="C506" s="23"/>
    </row>
    <row r="507">
      <c r="A507" s="30"/>
      <c r="B507" s="23"/>
      <c r="C507" s="23"/>
    </row>
    <row r="508">
      <c r="A508" s="30"/>
      <c r="B508" s="23"/>
      <c r="C508" s="23"/>
    </row>
    <row r="509">
      <c r="A509" s="30"/>
      <c r="B509" s="23"/>
      <c r="C509" s="23"/>
    </row>
    <row r="510">
      <c r="A510" s="30"/>
      <c r="B510" s="23"/>
      <c r="C510" s="23"/>
    </row>
    <row r="511">
      <c r="A511" s="30"/>
      <c r="B511" s="23"/>
      <c r="C511" s="23"/>
    </row>
    <row r="512">
      <c r="A512" s="30"/>
      <c r="B512" s="23"/>
      <c r="C512" s="23"/>
    </row>
    <row r="513">
      <c r="A513" s="30"/>
      <c r="B513" s="23"/>
      <c r="C513" s="23"/>
    </row>
    <row r="514">
      <c r="A514" s="30"/>
      <c r="B514" s="23"/>
      <c r="C514" s="23"/>
    </row>
    <row r="515">
      <c r="A515" s="30"/>
      <c r="B515" s="23"/>
      <c r="C515" s="23"/>
    </row>
    <row r="516">
      <c r="A516" s="30"/>
      <c r="B516" s="23"/>
      <c r="C516" s="23"/>
    </row>
    <row r="517">
      <c r="A517" s="30"/>
      <c r="B517" s="23"/>
      <c r="C517" s="23"/>
    </row>
    <row r="518">
      <c r="A518" s="30"/>
      <c r="B518" s="23"/>
      <c r="C518" s="23"/>
    </row>
    <row r="519">
      <c r="A519" s="30"/>
      <c r="B519" s="23"/>
      <c r="C519" s="23"/>
    </row>
    <row r="520">
      <c r="A520" s="30"/>
      <c r="B520" s="23"/>
      <c r="C520" s="23"/>
    </row>
    <row r="521">
      <c r="A521" s="30"/>
      <c r="B521" s="23"/>
      <c r="C521" s="23"/>
    </row>
    <row r="522">
      <c r="A522" s="30"/>
      <c r="B522" s="23"/>
      <c r="C522" s="23"/>
    </row>
    <row r="523">
      <c r="A523" s="30"/>
      <c r="B523" s="23"/>
      <c r="C523" s="23"/>
    </row>
    <row r="524">
      <c r="A524" s="30"/>
      <c r="B524" s="23"/>
      <c r="C524" s="23"/>
    </row>
    <row r="525">
      <c r="A525" s="30"/>
      <c r="B525" s="23"/>
      <c r="C525" s="23"/>
    </row>
    <row r="526">
      <c r="A526" s="30"/>
      <c r="B526" s="23"/>
      <c r="C526" s="23"/>
    </row>
    <row r="527">
      <c r="A527" s="30"/>
      <c r="B527" s="23"/>
      <c r="C527" s="23"/>
    </row>
    <row r="528">
      <c r="A528" s="30"/>
      <c r="B528" s="23"/>
      <c r="C528" s="23"/>
    </row>
    <row r="529">
      <c r="A529" s="30"/>
      <c r="B529" s="23"/>
      <c r="C529" s="23"/>
    </row>
    <row r="530">
      <c r="A530" s="30"/>
      <c r="B530" s="23"/>
      <c r="C530" s="23"/>
    </row>
    <row r="531">
      <c r="A531" s="30"/>
      <c r="B531" s="23"/>
      <c r="C531" s="23"/>
    </row>
    <row r="532">
      <c r="A532" s="30"/>
      <c r="B532" s="23"/>
      <c r="C532" s="23"/>
    </row>
    <row r="533">
      <c r="A533" s="30"/>
      <c r="B533" s="23"/>
      <c r="C533" s="23"/>
    </row>
    <row r="534">
      <c r="A534" s="30"/>
      <c r="B534" s="23"/>
      <c r="C534" s="23"/>
    </row>
    <row r="535">
      <c r="A535" s="30"/>
      <c r="B535" s="23"/>
      <c r="C535" s="23"/>
    </row>
    <row r="536">
      <c r="A536" s="30"/>
      <c r="B536" s="23"/>
      <c r="C536" s="23"/>
    </row>
    <row r="537">
      <c r="A537" s="30"/>
      <c r="B537" s="23"/>
      <c r="C537" s="23"/>
    </row>
    <row r="538">
      <c r="A538" s="30"/>
      <c r="B538" s="23"/>
      <c r="C538" s="23"/>
    </row>
    <row r="539">
      <c r="A539" s="30"/>
      <c r="B539" s="23"/>
      <c r="C539" s="23"/>
    </row>
    <row r="540">
      <c r="A540" s="30"/>
      <c r="B540" s="23"/>
      <c r="C540" s="23"/>
    </row>
    <row r="541">
      <c r="A541" s="30"/>
      <c r="B541" s="23"/>
      <c r="C541" s="23"/>
    </row>
    <row r="542">
      <c r="A542" s="30"/>
      <c r="B542" s="23"/>
      <c r="C542" s="23"/>
    </row>
    <row r="543">
      <c r="A543" s="30"/>
      <c r="B543" s="23"/>
      <c r="C543" s="23"/>
    </row>
    <row r="544">
      <c r="A544" s="30"/>
      <c r="B544" s="23"/>
      <c r="C544" s="23"/>
    </row>
    <row r="545">
      <c r="A545" s="30"/>
      <c r="B545" s="23"/>
      <c r="C545" s="23"/>
    </row>
    <row r="546">
      <c r="A546" s="30"/>
      <c r="B546" s="23"/>
      <c r="C546" s="23"/>
    </row>
    <row r="547">
      <c r="A547" s="30"/>
      <c r="B547" s="23"/>
      <c r="C547" s="23"/>
    </row>
    <row r="548">
      <c r="A548" s="30"/>
      <c r="B548" s="23"/>
      <c r="C548" s="23"/>
    </row>
    <row r="549">
      <c r="A549" s="30"/>
      <c r="B549" s="23"/>
      <c r="C549" s="23"/>
    </row>
    <row r="550">
      <c r="A550" s="30"/>
      <c r="B550" s="23"/>
      <c r="C550" s="23"/>
    </row>
    <row r="551">
      <c r="A551" s="30"/>
      <c r="B551" s="23"/>
      <c r="C551" s="23"/>
    </row>
    <row r="552">
      <c r="A552" s="30"/>
      <c r="B552" s="23"/>
      <c r="C552" s="23"/>
    </row>
    <row r="553">
      <c r="A553" s="30"/>
      <c r="B553" s="23"/>
      <c r="C553" s="23"/>
    </row>
    <row r="554">
      <c r="A554" s="30"/>
      <c r="B554" s="23"/>
      <c r="C554" s="23"/>
    </row>
    <row r="555">
      <c r="A555" s="30"/>
      <c r="B555" s="23"/>
      <c r="C555" s="23"/>
    </row>
    <row r="556">
      <c r="A556" s="30"/>
      <c r="B556" s="23"/>
      <c r="C556" s="23"/>
    </row>
    <row r="557">
      <c r="A557" s="30"/>
      <c r="B557" s="23"/>
      <c r="C557" s="23"/>
    </row>
    <row r="558">
      <c r="A558" s="30"/>
      <c r="B558" s="23"/>
      <c r="C558" s="23"/>
    </row>
    <row r="559">
      <c r="A559" s="30"/>
      <c r="B559" s="23"/>
      <c r="C559" s="23"/>
    </row>
    <row r="560">
      <c r="A560" s="30"/>
      <c r="B560" s="23"/>
      <c r="C560" s="23"/>
    </row>
    <row r="561">
      <c r="A561" s="30"/>
      <c r="B561" s="23"/>
      <c r="C561" s="23"/>
    </row>
    <row r="562">
      <c r="A562" s="30"/>
      <c r="B562" s="23"/>
      <c r="C562" s="23"/>
    </row>
    <row r="563">
      <c r="A563" s="30"/>
      <c r="B563" s="23"/>
      <c r="C563" s="23"/>
    </row>
    <row r="564">
      <c r="A564" s="30"/>
      <c r="B564" s="23"/>
      <c r="C564" s="23"/>
    </row>
    <row r="565">
      <c r="A565" s="30"/>
      <c r="B565" s="23"/>
      <c r="C565" s="23"/>
    </row>
    <row r="566">
      <c r="A566" s="30"/>
      <c r="B566" s="23"/>
      <c r="C566" s="23"/>
    </row>
    <row r="567">
      <c r="A567" s="30"/>
      <c r="B567" s="23"/>
      <c r="C567" s="23"/>
    </row>
    <row r="568">
      <c r="A568" s="30"/>
      <c r="B568" s="23"/>
      <c r="C568" s="23"/>
    </row>
    <row r="569">
      <c r="A569" s="30"/>
      <c r="B569" s="23"/>
      <c r="C569" s="23"/>
    </row>
    <row r="570">
      <c r="A570" s="30"/>
      <c r="B570" s="23"/>
      <c r="C570" s="23"/>
    </row>
    <row r="571">
      <c r="A571" s="30"/>
      <c r="B571" s="23"/>
      <c r="C571" s="23"/>
    </row>
    <row r="572">
      <c r="A572" s="30"/>
      <c r="B572" s="23"/>
      <c r="C572" s="23"/>
    </row>
    <row r="573">
      <c r="A573" s="30"/>
      <c r="B573" s="23"/>
      <c r="C573" s="23"/>
    </row>
    <row r="574">
      <c r="A574" s="30"/>
      <c r="B574" s="23"/>
      <c r="C574" s="23"/>
    </row>
    <row r="575">
      <c r="A575" s="30"/>
      <c r="B575" s="23"/>
      <c r="C575" s="23"/>
    </row>
    <row r="576">
      <c r="A576" s="30"/>
      <c r="B576" s="23"/>
      <c r="C576" s="23"/>
    </row>
    <row r="577">
      <c r="A577" s="30"/>
      <c r="B577" s="23"/>
      <c r="C577" s="23"/>
    </row>
    <row r="578">
      <c r="A578" s="30"/>
      <c r="B578" s="23"/>
      <c r="C578" s="23"/>
    </row>
    <row r="579">
      <c r="A579" s="30"/>
      <c r="B579" s="23"/>
      <c r="C579" s="23"/>
    </row>
    <row r="580">
      <c r="A580" s="30"/>
      <c r="B580" s="23"/>
      <c r="C580" s="23"/>
    </row>
    <row r="581">
      <c r="A581" s="30"/>
      <c r="B581" s="23"/>
      <c r="C581" s="23"/>
    </row>
    <row r="582">
      <c r="A582" s="30"/>
      <c r="B582" s="23"/>
      <c r="C582" s="23"/>
    </row>
    <row r="583">
      <c r="A583" s="30"/>
      <c r="B583" s="23"/>
      <c r="C583" s="23"/>
    </row>
    <row r="584">
      <c r="A584" s="30"/>
      <c r="B584" s="23"/>
      <c r="C584" s="23"/>
    </row>
    <row r="585">
      <c r="A585" s="30"/>
      <c r="B585" s="23"/>
      <c r="C585" s="23"/>
    </row>
    <row r="586">
      <c r="A586" s="30"/>
      <c r="B586" s="23"/>
      <c r="C586" s="23"/>
    </row>
    <row r="587">
      <c r="A587" s="30"/>
      <c r="B587" s="23"/>
      <c r="C587" s="23"/>
    </row>
    <row r="588">
      <c r="A588" s="30"/>
      <c r="B588" s="23"/>
      <c r="C588" s="23"/>
    </row>
    <row r="589">
      <c r="A589" s="30"/>
      <c r="B589" s="23"/>
      <c r="C589" s="23"/>
    </row>
    <row r="590">
      <c r="A590" s="30"/>
      <c r="B590" s="23"/>
      <c r="C590" s="23"/>
    </row>
    <row r="591">
      <c r="A591" s="30"/>
      <c r="B591" s="23"/>
      <c r="C591" s="23"/>
    </row>
    <row r="592">
      <c r="A592" s="30"/>
      <c r="B592" s="23"/>
      <c r="C592" s="23"/>
    </row>
    <row r="593">
      <c r="A593" s="30"/>
      <c r="B593" s="23"/>
      <c r="C593" s="23"/>
    </row>
    <row r="594">
      <c r="A594" s="30"/>
      <c r="B594" s="23"/>
      <c r="C594" s="23"/>
    </row>
    <row r="595">
      <c r="A595" s="30"/>
      <c r="B595" s="23"/>
      <c r="C595" s="23"/>
    </row>
    <row r="596">
      <c r="A596" s="30"/>
      <c r="B596" s="23"/>
      <c r="C596" s="23"/>
    </row>
    <row r="597">
      <c r="A597" s="30"/>
      <c r="B597" s="23"/>
      <c r="C597" s="23"/>
    </row>
    <row r="598">
      <c r="A598" s="30"/>
      <c r="B598" s="23"/>
      <c r="C598" s="23"/>
    </row>
    <row r="599">
      <c r="A599" s="30"/>
      <c r="B599" s="23"/>
      <c r="C599" s="23"/>
    </row>
    <row r="600">
      <c r="A600" s="30"/>
      <c r="B600" s="23"/>
      <c r="C600" s="23"/>
    </row>
    <row r="601">
      <c r="A601" s="30"/>
      <c r="B601" s="23"/>
      <c r="C601" s="23"/>
    </row>
    <row r="602">
      <c r="A602" s="30"/>
      <c r="B602" s="23"/>
      <c r="C602" s="23"/>
    </row>
    <row r="603">
      <c r="A603" s="30"/>
      <c r="B603" s="23"/>
      <c r="C603" s="23"/>
    </row>
    <row r="604">
      <c r="A604" s="30"/>
      <c r="B604" s="23"/>
      <c r="C604" s="23"/>
    </row>
    <row r="605">
      <c r="A605" s="30"/>
      <c r="B605" s="23"/>
      <c r="C605" s="23"/>
    </row>
    <row r="606">
      <c r="A606" s="30"/>
      <c r="B606" s="23"/>
      <c r="C606" s="23"/>
    </row>
    <row r="607">
      <c r="A607" s="30"/>
      <c r="B607" s="23"/>
      <c r="C607" s="23"/>
    </row>
    <row r="608">
      <c r="A608" s="30"/>
      <c r="B608" s="23"/>
      <c r="C608" s="23"/>
    </row>
    <row r="609">
      <c r="A609" s="30"/>
      <c r="B609" s="23"/>
      <c r="C609" s="23"/>
    </row>
    <row r="610">
      <c r="A610" s="30"/>
      <c r="B610" s="23"/>
      <c r="C610" s="23"/>
    </row>
    <row r="611">
      <c r="A611" s="30"/>
      <c r="B611" s="23"/>
      <c r="C611" s="23"/>
    </row>
    <row r="612">
      <c r="A612" s="30"/>
      <c r="B612" s="23"/>
      <c r="C612" s="23"/>
    </row>
    <row r="613">
      <c r="A613" s="30"/>
      <c r="B613" s="23"/>
      <c r="C613" s="23"/>
    </row>
    <row r="614">
      <c r="A614" s="30"/>
      <c r="B614" s="23"/>
      <c r="C614" s="23"/>
    </row>
    <row r="615">
      <c r="A615" s="30"/>
      <c r="B615" s="23"/>
      <c r="C615" s="23"/>
    </row>
    <row r="616">
      <c r="A616" s="30"/>
      <c r="B616" s="23"/>
      <c r="C616" s="23"/>
    </row>
    <row r="617">
      <c r="A617" s="30"/>
      <c r="B617" s="23"/>
      <c r="C617" s="23"/>
    </row>
    <row r="618">
      <c r="A618" s="30"/>
      <c r="B618" s="23"/>
      <c r="C618" s="23"/>
    </row>
    <row r="619">
      <c r="A619" s="30"/>
      <c r="B619" s="23"/>
      <c r="C619" s="23"/>
    </row>
    <row r="620">
      <c r="A620" s="30"/>
      <c r="B620" s="23"/>
      <c r="C620" s="23"/>
    </row>
    <row r="621">
      <c r="A621" s="30"/>
      <c r="B621" s="23"/>
      <c r="C621" s="23"/>
    </row>
    <row r="622">
      <c r="A622" s="30"/>
      <c r="B622" s="23"/>
      <c r="C622" s="23"/>
    </row>
    <row r="623">
      <c r="A623" s="30"/>
      <c r="B623" s="23"/>
      <c r="C623" s="23"/>
    </row>
    <row r="624">
      <c r="A624" s="30"/>
      <c r="B624" s="23"/>
      <c r="C624" s="23"/>
    </row>
    <row r="625">
      <c r="A625" s="30"/>
      <c r="B625" s="23"/>
      <c r="C625" s="23"/>
    </row>
    <row r="626">
      <c r="A626" s="30"/>
      <c r="B626" s="23"/>
      <c r="C626" s="23"/>
    </row>
    <row r="627">
      <c r="A627" s="30"/>
      <c r="B627" s="23"/>
      <c r="C627" s="23"/>
    </row>
    <row r="628">
      <c r="A628" s="30"/>
      <c r="B628" s="23"/>
      <c r="C628" s="23"/>
    </row>
    <row r="629">
      <c r="A629" s="30"/>
      <c r="B629" s="23"/>
      <c r="C629" s="23"/>
    </row>
    <row r="630">
      <c r="A630" s="30"/>
      <c r="B630" s="23"/>
      <c r="C630" s="23"/>
    </row>
    <row r="631">
      <c r="A631" s="30"/>
      <c r="B631" s="23"/>
      <c r="C631" s="23"/>
    </row>
    <row r="632">
      <c r="A632" s="30"/>
      <c r="B632" s="23"/>
      <c r="C632" s="23"/>
    </row>
    <row r="633">
      <c r="A633" s="30"/>
      <c r="B633" s="23"/>
      <c r="C633" s="23"/>
    </row>
    <row r="634">
      <c r="A634" s="30"/>
      <c r="B634" s="23"/>
      <c r="C634" s="23"/>
    </row>
    <row r="635">
      <c r="A635" s="30"/>
      <c r="B635" s="23"/>
      <c r="C635" s="23"/>
    </row>
    <row r="636">
      <c r="A636" s="30"/>
      <c r="B636" s="23"/>
      <c r="C636" s="23"/>
    </row>
    <row r="637">
      <c r="A637" s="30"/>
      <c r="B637" s="23"/>
      <c r="C637" s="23"/>
    </row>
    <row r="638">
      <c r="A638" s="30"/>
      <c r="B638" s="23"/>
      <c r="C638" s="23"/>
    </row>
    <row r="639">
      <c r="A639" s="30"/>
      <c r="B639" s="23"/>
      <c r="C639" s="23"/>
    </row>
    <row r="640">
      <c r="A640" s="30"/>
      <c r="B640" s="23"/>
      <c r="C640" s="23"/>
    </row>
    <row r="641">
      <c r="A641" s="30"/>
      <c r="B641" s="23"/>
      <c r="C641" s="23"/>
    </row>
    <row r="642">
      <c r="A642" s="30"/>
      <c r="B642" s="23"/>
      <c r="C642" s="23"/>
    </row>
    <row r="643">
      <c r="A643" s="30"/>
      <c r="B643" s="23"/>
      <c r="C643" s="23"/>
    </row>
    <row r="644">
      <c r="A644" s="30"/>
      <c r="B644" s="23"/>
      <c r="C644" s="23"/>
    </row>
    <row r="645">
      <c r="A645" s="30"/>
      <c r="B645" s="23"/>
      <c r="C645" s="23"/>
    </row>
    <row r="646">
      <c r="A646" s="30"/>
      <c r="B646" s="23"/>
      <c r="C646" s="23"/>
    </row>
    <row r="647">
      <c r="A647" s="30"/>
      <c r="B647" s="23"/>
      <c r="C647" s="23"/>
    </row>
    <row r="648">
      <c r="A648" s="30"/>
      <c r="B648" s="23"/>
      <c r="C648" s="23"/>
    </row>
    <row r="649">
      <c r="A649" s="30"/>
      <c r="B649" s="23"/>
      <c r="C649" s="23"/>
    </row>
    <row r="650">
      <c r="A650" s="30"/>
      <c r="B650" s="23"/>
      <c r="C650" s="23"/>
    </row>
    <row r="651">
      <c r="A651" s="30"/>
      <c r="B651" s="23"/>
      <c r="C651" s="23"/>
    </row>
    <row r="652">
      <c r="A652" s="30"/>
      <c r="B652" s="23"/>
      <c r="C652" s="23"/>
    </row>
    <row r="653">
      <c r="A653" s="30"/>
      <c r="B653" s="23"/>
      <c r="C653" s="23"/>
    </row>
    <row r="654">
      <c r="A654" s="30"/>
      <c r="B654" s="23"/>
      <c r="C654" s="23"/>
    </row>
    <row r="655">
      <c r="A655" s="30"/>
      <c r="B655" s="23"/>
      <c r="C655" s="23"/>
    </row>
    <row r="656">
      <c r="A656" s="30"/>
      <c r="B656" s="23"/>
      <c r="C656" s="23"/>
    </row>
    <row r="657">
      <c r="A657" s="30"/>
      <c r="B657" s="23"/>
      <c r="C657" s="23"/>
    </row>
    <row r="658">
      <c r="A658" s="30"/>
      <c r="B658" s="23"/>
      <c r="C658" s="23"/>
    </row>
    <row r="659">
      <c r="A659" s="30"/>
      <c r="B659" s="23"/>
      <c r="C659" s="23"/>
    </row>
    <row r="660">
      <c r="A660" s="30"/>
      <c r="B660" s="23"/>
      <c r="C660" s="23"/>
    </row>
    <row r="661">
      <c r="A661" s="30"/>
      <c r="B661" s="23"/>
      <c r="C661" s="23"/>
    </row>
    <row r="662">
      <c r="A662" s="30"/>
      <c r="B662" s="23"/>
      <c r="C662" s="23"/>
    </row>
    <row r="663">
      <c r="A663" s="30"/>
      <c r="B663" s="23"/>
      <c r="C663" s="23"/>
    </row>
    <row r="664">
      <c r="A664" s="30"/>
      <c r="B664" s="23"/>
      <c r="C664" s="23"/>
    </row>
    <row r="665">
      <c r="A665" s="30"/>
      <c r="B665" s="23"/>
      <c r="C665" s="23"/>
    </row>
    <row r="666">
      <c r="A666" s="30"/>
      <c r="B666" s="23"/>
      <c r="C666" s="23"/>
    </row>
    <row r="667">
      <c r="A667" s="30"/>
      <c r="B667" s="23"/>
      <c r="C667" s="23"/>
    </row>
    <row r="668">
      <c r="A668" s="30"/>
      <c r="B668" s="23"/>
      <c r="C668" s="23"/>
    </row>
    <row r="669">
      <c r="A669" s="30"/>
      <c r="B669" s="23"/>
      <c r="C669" s="23"/>
    </row>
    <row r="670">
      <c r="A670" s="30"/>
      <c r="B670" s="23"/>
      <c r="C670" s="23"/>
    </row>
    <row r="671">
      <c r="A671" s="30"/>
      <c r="B671" s="23"/>
      <c r="C671" s="23"/>
    </row>
    <row r="672">
      <c r="A672" s="30"/>
      <c r="B672" s="23"/>
      <c r="C672" s="23"/>
    </row>
    <row r="673">
      <c r="A673" s="30"/>
      <c r="B673" s="23"/>
      <c r="C673" s="23"/>
    </row>
    <row r="674">
      <c r="A674" s="30"/>
      <c r="B674" s="23"/>
      <c r="C674" s="23"/>
    </row>
    <row r="675">
      <c r="A675" s="30"/>
      <c r="B675" s="23"/>
      <c r="C675" s="23"/>
    </row>
    <row r="676">
      <c r="A676" s="30"/>
      <c r="B676" s="23"/>
      <c r="C676" s="23"/>
    </row>
    <row r="677">
      <c r="A677" s="30"/>
      <c r="B677" s="23"/>
      <c r="C677" s="23"/>
    </row>
    <row r="678">
      <c r="A678" s="30"/>
      <c r="B678" s="23"/>
      <c r="C678" s="23"/>
    </row>
    <row r="679">
      <c r="A679" s="30"/>
      <c r="B679" s="23"/>
      <c r="C679" s="23"/>
    </row>
    <row r="680">
      <c r="A680" s="30"/>
      <c r="B680" s="23"/>
      <c r="C680" s="23"/>
    </row>
    <row r="681">
      <c r="A681" s="30"/>
      <c r="B681" s="23"/>
      <c r="C681" s="23"/>
    </row>
    <row r="682">
      <c r="A682" s="30"/>
      <c r="B682" s="23"/>
      <c r="C682" s="23"/>
    </row>
    <row r="683">
      <c r="A683" s="30"/>
      <c r="B683" s="23"/>
      <c r="C683" s="23"/>
    </row>
    <row r="684">
      <c r="A684" s="30"/>
      <c r="B684" s="23"/>
      <c r="C684" s="23"/>
    </row>
    <row r="685">
      <c r="A685" s="30"/>
      <c r="B685" s="23"/>
      <c r="C685" s="23"/>
    </row>
    <row r="686">
      <c r="A686" s="30"/>
      <c r="B686" s="23"/>
      <c r="C686" s="23"/>
    </row>
    <row r="687">
      <c r="A687" s="30"/>
      <c r="B687" s="23"/>
      <c r="C687" s="23"/>
    </row>
    <row r="688">
      <c r="A688" s="30"/>
      <c r="B688" s="23"/>
      <c r="C688" s="23"/>
    </row>
    <row r="689">
      <c r="A689" s="30"/>
      <c r="B689" s="23"/>
      <c r="C689" s="23"/>
    </row>
    <row r="690">
      <c r="A690" s="30"/>
      <c r="B690" s="23"/>
      <c r="C690" s="23"/>
    </row>
    <row r="691">
      <c r="A691" s="30"/>
      <c r="B691" s="23"/>
      <c r="C691" s="23"/>
    </row>
    <row r="692">
      <c r="A692" s="30"/>
      <c r="B692" s="23"/>
      <c r="C692" s="23"/>
    </row>
    <row r="693">
      <c r="A693" s="30"/>
      <c r="B693" s="23"/>
      <c r="C693" s="23"/>
    </row>
    <row r="694">
      <c r="A694" s="30"/>
      <c r="B694" s="23"/>
      <c r="C694" s="23"/>
    </row>
    <row r="695">
      <c r="A695" s="30"/>
      <c r="B695" s="23"/>
      <c r="C695" s="23"/>
    </row>
    <row r="696">
      <c r="A696" s="30"/>
      <c r="B696" s="23"/>
      <c r="C696" s="23"/>
    </row>
    <row r="697">
      <c r="A697" s="30"/>
      <c r="B697" s="23"/>
      <c r="C697" s="23"/>
    </row>
    <row r="698">
      <c r="A698" s="30"/>
      <c r="B698" s="23"/>
      <c r="C698" s="23"/>
    </row>
    <row r="699">
      <c r="A699" s="30"/>
      <c r="B699" s="23"/>
      <c r="C699" s="23"/>
    </row>
    <row r="700">
      <c r="A700" s="30"/>
      <c r="B700" s="23"/>
      <c r="C700" s="23"/>
    </row>
    <row r="701">
      <c r="A701" s="30"/>
      <c r="B701" s="23"/>
      <c r="C701" s="23"/>
    </row>
    <row r="702">
      <c r="A702" s="30"/>
      <c r="B702" s="23"/>
      <c r="C702" s="23"/>
    </row>
    <row r="703">
      <c r="A703" s="30"/>
      <c r="B703" s="23"/>
      <c r="C703" s="23"/>
    </row>
    <row r="704">
      <c r="A704" s="30"/>
      <c r="B704" s="23"/>
      <c r="C704" s="23"/>
    </row>
    <row r="705">
      <c r="A705" s="30"/>
      <c r="B705" s="23"/>
      <c r="C705" s="23"/>
    </row>
    <row r="706">
      <c r="A706" s="30"/>
      <c r="B706" s="23"/>
      <c r="C706" s="23"/>
    </row>
    <row r="707">
      <c r="A707" s="30"/>
      <c r="B707" s="23"/>
      <c r="C707" s="23"/>
    </row>
    <row r="708">
      <c r="A708" s="30"/>
      <c r="B708" s="23"/>
      <c r="C708" s="23"/>
    </row>
    <row r="709">
      <c r="A709" s="30"/>
      <c r="B709" s="23"/>
      <c r="C709" s="23"/>
    </row>
    <row r="710">
      <c r="A710" s="30"/>
      <c r="B710" s="23"/>
      <c r="C710" s="23"/>
    </row>
    <row r="711">
      <c r="A711" s="30"/>
      <c r="B711" s="23"/>
      <c r="C711" s="23"/>
    </row>
    <row r="712">
      <c r="A712" s="30"/>
      <c r="B712" s="23"/>
      <c r="C712" s="23"/>
    </row>
    <row r="713">
      <c r="A713" s="30"/>
      <c r="B713" s="23"/>
      <c r="C713" s="23"/>
    </row>
    <row r="714">
      <c r="A714" s="30"/>
      <c r="B714" s="23"/>
      <c r="C714" s="23"/>
    </row>
    <row r="715">
      <c r="A715" s="30"/>
      <c r="B715" s="23"/>
      <c r="C715" s="23"/>
    </row>
    <row r="716">
      <c r="A716" s="30"/>
      <c r="B716" s="23"/>
      <c r="C716" s="23"/>
    </row>
    <row r="717">
      <c r="A717" s="30"/>
      <c r="B717" s="23"/>
      <c r="C717" s="23"/>
    </row>
    <row r="718">
      <c r="A718" s="30"/>
      <c r="B718" s="23"/>
      <c r="C718" s="23"/>
    </row>
    <row r="719">
      <c r="A719" s="30"/>
      <c r="B719" s="23"/>
      <c r="C719" s="23"/>
    </row>
    <row r="720">
      <c r="A720" s="30"/>
      <c r="B720" s="23"/>
      <c r="C720" s="23"/>
    </row>
    <row r="721">
      <c r="A721" s="30"/>
      <c r="B721" s="23"/>
      <c r="C721" s="23"/>
    </row>
    <row r="722">
      <c r="A722" s="30"/>
      <c r="B722" s="23"/>
      <c r="C722" s="23"/>
    </row>
    <row r="723">
      <c r="A723" s="30"/>
      <c r="B723" s="23"/>
      <c r="C723" s="23"/>
    </row>
    <row r="724">
      <c r="A724" s="30"/>
      <c r="B724" s="23"/>
      <c r="C724" s="23"/>
    </row>
    <row r="725">
      <c r="A725" s="30"/>
      <c r="B725" s="23"/>
      <c r="C725" s="23"/>
    </row>
    <row r="726">
      <c r="A726" s="30"/>
      <c r="B726" s="23"/>
      <c r="C726" s="23"/>
    </row>
    <row r="727">
      <c r="A727" s="30"/>
      <c r="B727" s="23"/>
      <c r="C727" s="23"/>
    </row>
    <row r="728">
      <c r="A728" s="30"/>
      <c r="B728" s="23"/>
      <c r="C728" s="23"/>
    </row>
    <row r="729">
      <c r="A729" s="30"/>
      <c r="B729" s="23"/>
      <c r="C729" s="23"/>
    </row>
    <row r="730">
      <c r="A730" s="30"/>
      <c r="B730" s="23"/>
      <c r="C730" s="23"/>
    </row>
    <row r="731">
      <c r="A731" s="30"/>
      <c r="B731" s="23"/>
      <c r="C731" s="23"/>
    </row>
    <row r="732">
      <c r="A732" s="30"/>
      <c r="B732" s="23"/>
      <c r="C732" s="23"/>
    </row>
    <row r="733">
      <c r="A733" s="30"/>
      <c r="B733" s="23"/>
      <c r="C733" s="23"/>
    </row>
    <row r="734">
      <c r="A734" s="30"/>
      <c r="B734" s="23"/>
      <c r="C734" s="23"/>
    </row>
    <row r="735">
      <c r="A735" s="30"/>
      <c r="B735" s="23"/>
      <c r="C735" s="23"/>
    </row>
    <row r="736">
      <c r="A736" s="30"/>
      <c r="B736" s="23"/>
      <c r="C736" s="23"/>
    </row>
    <row r="737">
      <c r="A737" s="30"/>
      <c r="B737" s="23"/>
      <c r="C737" s="23"/>
    </row>
    <row r="738">
      <c r="A738" s="30"/>
      <c r="B738" s="23"/>
      <c r="C738" s="23"/>
    </row>
    <row r="739">
      <c r="A739" s="30"/>
      <c r="B739" s="23"/>
      <c r="C739" s="23"/>
    </row>
    <row r="740">
      <c r="A740" s="30"/>
      <c r="B740" s="23"/>
      <c r="C740" s="23"/>
    </row>
    <row r="741">
      <c r="A741" s="30"/>
      <c r="B741" s="23"/>
      <c r="C741" s="23"/>
    </row>
    <row r="742">
      <c r="A742" s="30"/>
      <c r="B742" s="23"/>
      <c r="C742" s="23"/>
    </row>
    <row r="743">
      <c r="A743" s="30"/>
      <c r="B743" s="23"/>
      <c r="C743" s="23"/>
    </row>
    <row r="744">
      <c r="A744" s="30"/>
      <c r="B744" s="23"/>
      <c r="C744" s="23"/>
    </row>
    <row r="745">
      <c r="A745" s="30"/>
      <c r="B745" s="23"/>
      <c r="C745" s="23"/>
    </row>
    <row r="746">
      <c r="A746" s="30"/>
      <c r="B746" s="23"/>
      <c r="C746" s="23"/>
    </row>
    <row r="747">
      <c r="A747" s="30"/>
      <c r="B747" s="23"/>
      <c r="C747" s="23"/>
    </row>
    <row r="748">
      <c r="A748" s="30"/>
      <c r="B748" s="23"/>
      <c r="C748" s="23"/>
    </row>
    <row r="749">
      <c r="A749" s="30"/>
      <c r="B749" s="23"/>
      <c r="C749" s="23"/>
    </row>
    <row r="750">
      <c r="A750" s="30"/>
      <c r="B750" s="23"/>
      <c r="C750" s="23"/>
    </row>
    <row r="751">
      <c r="A751" s="30"/>
      <c r="B751" s="23"/>
      <c r="C751" s="23"/>
    </row>
    <row r="752">
      <c r="A752" s="30"/>
      <c r="B752" s="23"/>
      <c r="C752" s="23"/>
    </row>
    <row r="753">
      <c r="A753" s="30"/>
      <c r="B753" s="23"/>
      <c r="C753" s="23"/>
    </row>
    <row r="754">
      <c r="A754" s="30"/>
      <c r="B754" s="23"/>
      <c r="C754" s="23"/>
    </row>
    <row r="755">
      <c r="A755" s="30"/>
      <c r="B755" s="23"/>
      <c r="C755" s="23"/>
    </row>
    <row r="756">
      <c r="A756" s="30"/>
      <c r="B756" s="23"/>
      <c r="C756" s="23"/>
    </row>
    <row r="757">
      <c r="A757" s="30"/>
      <c r="B757" s="23"/>
      <c r="C757" s="23"/>
    </row>
    <row r="758">
      <c r="A758" s="30"/>
      <c r="B758" s="23"/>
      <c r="C758" s="23"/>
    </row>
    <row r="759">
      <c r="A759" s="30"/>
      <c r="B759" s="23"/>
      <c r="C759" s="23"/>
    </row>
    <row r="760">
      <c r="A760" s="30"/>
      <c r="B760" s="23"/>
      <c r="C760" s="23"/>
    </row>
    <row r="761">
      <c r="A761" s="30"/>
      <c r="B761" s="23"/>
      <c r="C761" s="23"/>
    </row>
    <row r="762">
      <c r="A762" s="30"/>
      <c r="B762" s="23"/>
      <c r="C762" s="23"/>
    </row>
    <row r="763">
      <c r="A763" s="30"/>
      <c r="B763" s="23"/>
      <c r="C763" s="23"/>
    </row>
    <row r="764">
      <c r="A764" s="30"/>
      <c r="B764" s="23"/>
      <c r="C764" s="23"/>
    </row>
    <row r="765">
      <c r="A765" s="30"/>
      <c r="B765" s="23"/>
      <c r="C765" s="23"/>
    </row>
    <row r="766">
      <c r="A766" s="30"/>
      <c r="B766" s="23"/>
      <c r="C766" s="23"/>
    </row>
    <row r="767">
      <c r="A767" s="30"/>
      <c r="B767" s="23"/>
      <c r="C767" s="23"/>
    </row>
    <row r="768">
      <c r="A768" s="30"/>
      <c r="B768" s="23"/>
      <c r="C768" s="23"/>
    </row>
    <row r="769">
      <c r="A769" s="30"/>
      <c r="B769" s="23"/>
      <c r="C769" s="23"/>
    </row>
    <row r="770">
      <c r="A770" s="30"/>
      <c r="B770" s="23"/>
      <c r="C770" s="23"/>
    </row>
    <row r="771">
      <c r="A771" s="30"/>
      <c r="B771" s="23"/>
      <c r="C771" s="23"/>
    </row>
    <row r="772">
      <c r="A772" s="30"/>
      <c r="B772" s="23"/>
      <c r="C772" s="23"/>
    </row>
    <row r="773">
      <c r="A773" s="30"/>
      <c r="B773" s="23"/>
      <c r="C773" s="23"/>
    </row>
    <row r="774">
      <c r="A774" s="30"/>
      <c r="B774" s="23"/>
      <c r="C774" s="23"/>
    </row>
    <row r="775">
      <c r="A775" s="30"/>
      <c r="B775" s="23"/>
      <c r="C775" s="23"/>
    </row>
    <row r="776">
      <c r="A776" s="30"/>
      <c r="B776" s="23"/>
      <c r="C776" s="23"/>
    </row>
    <row r="777">
      <c r="A777" s="30"/>
      <c r="B777" s="23"/>
      <c r="C777" s="23"/>
    </row>
    <row r="778">
      <c r="A778" s="30"/>
      <c r="B778" s="23"/>
      <c r="C778" s="23"/>
    </row>
    <row r="779">
      <c r="A779" s="30"/>
      <c r="B779" s="23"/>
      <c r="C779" s="23"/>
    </row>
    <row r="780">
      <c r="A780" s="30"/>
      <c r="B780" s="23"/>
      <c r="C780" s="23"/>
    </row>
    <row r="781">
      <c r="A781" s="30"/>
      <c r="B781" s="23"/>
      <c r="C781" s="23"/>
    </row>
    <row r="782">
      <c r="A782" s="30"/>
      <c r="B782" s="23"/>
      <c r="C782" s="23"/>
    </row>
    <row r="783">
      <c r="A783" s="30"/>
      <c r="B783" s="23"/>
      <c r="C783" s="23"/>
    </row>
    <row r="784">
      <c r="A784" s="30"/>
      <c r="B784" s="23"/>
      <c r="C784" s="23"/>
    </row>
    <row r="785">
      <c r="A785" s="30"/>
      <c r="B785" s="23"/>
      <c r="C785" s="23"/>
    </row>
    <row r="786">
      <c r="A786" s="30"/>
      <c r="B786" s="23"/>
      <c r="C786" s="23"/>
    </row>
    <row r="787">
      <c r="A787" s="30"/>
      <c r="B787" s="23"/>
      <c r="C787" s="23"/>
    </row>
    <row r="788">
      <c r="A788" s="30"/>
      <c r="B788" s="23"/>
      <c r="C788" s="23"/>
    </row>
    <row r="789">
      <c r="A789" s="30"/>
      <c r="B789" s="23"/>
      <c r="C789" s="23"/>
    </row>
    <row r="790">
      <c r="A790" s="30"/>
      <c r="B790" s="23"/>
      <c r="C790" s="23"/>
    </row>
    <row r="791">
      <c r="A791" s="30"/>
      <c r="B791" s="23"/>
      <c r="C791" s="23"/>
    </row>
    <row r="792">
      <c r="A792" s="30"/>
      <c r="B792" s="23"/>
      <c r="C792" s="23"/>
    </row>
    <row r="793">
      <c r="A793" s="30"/>
      <c r="B793" s="23"/>
      <c r="C793" s="23"/>
    </row>
    <row r="794">
      <c r="A794" s="30"/>
      <c r="B794" s="23"/>
      <c r="C794" s="23"/>
    </row>
    <row r="795">
      <c r="A795" s="30"/>
      <c r="B795" s="23"/>
      <c r="C795" s="23"/>
    </row>
    <row r="796">
      <c r="A796" s="30"/>
      <c r="B796" s="23"/>
      <c r="C796" s="23"/>
    </row>
    <row r="797">
      <c r="A797" s="30"/>
      <c r="B797" s="23"/>
      <c r="C797" s="23"/>
    </row>
    <row r="798">
      <c r="A798" s="30"/>
      <c r="B798" s="23"/>
      <c r="C798" s="23"/>
    </row>
    <row r="799">
      <c r="A799" s="30"/>
      <c r="B799" s="23"/>
      <c r="C799" s="23"/>
    </row>
    <row r="800">
      <c r="A800" s="30"/>
      <c r="B800" s="23"/>
      <c r="C800" s="23"/>
    </row>
    <row r="801">
      <c r="A801" s="30"/>
      <c r="B801" s="23"/>
      <c r="C801" s="23"/>
    </row>
    <row r="802">
      <c r="A802" s="30"/>
      <c r="B802" s="23"/>
      <c r="C802" s="23"/>
    </row>
    <row r="803">
      <c r="A803" s="30"/>
      <c r="B803" s="23"/>
      <c r="C803" s="23"/>
    </row>
    <row r="804">
      <c r="A804" s="30"/>
      <c r="B804" s="23"/>
      <c r="C804" s="23"/>
    </row>
    <row r="805">
      <c r="A805" s="30"/>
      <c r="B805" s="23"/>
      <c r="C805" s="23"/>
    </row>
    <row r="806">
      <c r="A806" s="30"/>
      <c r="B806" s="23"/>
      <c r="C806" s="23"/>
    </row>
    <row r="807">
      <c r="A807" s="30"/>
      <c r="B807" s="23"/>
      <c r="C807" s="23"/>
    </row>
    <row r="808">
      <c r="A808" s="30"/>
      <c r="B808" s="23"/>
      <c r="C808" s="23"/>
    </row>
    <row r="809">
      <c r="A809" s="30"/>
      <c r="B809" s="23"/>
      <c r="C809" s="23"/>
    </row>
    <row r="810">
      <c r="A810" s="30"/>
      <c r="B810" s="23"/>
      <c r="C810" s="23"/>
    </row>
    <row r="811">
      <c r="A811" s="30"/>
      <c r="B811" s="23"/>
      <c r="C811" s="23"/>
    </row>
    <row r="812">
      <c r="A812" s="30"/>
      <c r="B812" s="23"/>
      <c r="C812" s="23"/>
    </row>
    <row r="813">
      <c r="A813" s="30"/>
      <c r="B813" s="23"/>
      <c r="C813" s="23"/>
    </row>
    <row r="814">
      <c r="A814" s="30"/>
      <c r="B814" s="23"/>
      <c r="C814" s="23"/>
    </row>
    <row r="815">
      <c r="A815" s="30"/>
      <c r="B815" s="23"/>
      <c r="C815" s="23"/>
    </row>
    <row r="816">
      <c r="A816" s="30"/>
      <c r="B816" s="23"/>
      <c r="C816" s="23"/>
    </row>
    <row r="817">
      <c r="A817" s="30"/>
      <c r="B817" s="23"/>
      <c r="C817" s="23"/>
    </row>
    <row r="818">
      <c r="A818" s="30"/>
      <c r="B818" s="23"/>
      <c r="C818" s="23"/>
    </row>
    <row r="819">
      <c r="A819" s="30"/>
      <c r="B819" s="23"/>
      <c r="C819" s="23"/>
    </row>
    <row r="820">
      <c r="A820" s="30"/>
      <c r="B820" s="23"/>
      <c r="C820" s="23"/>
    </row>
    <row r="821">
      <c r="A821" s="30"/>
      <c r="B821" s="23"/>
      <c r="C821" s="23"/>
    </row>
    <row r="822">
      <c r="A822" s="30"/>
      <c r="B822" s="23"/>
      <c r="C822" s="23"/>
    </row>
    <row r="823">
      <c r="A823" s="30"/>
      <c r="B823" s="23"/>
      <c r="C823" s="23"/>
    </row>
    <row r="824">
      <c r="A824" s="30"/>
      <c r="B824" s="23"/>
      <c r="C824" s="23"/>
    </row>
    <row r="825">
      <c r="A825" s="30"/>
      <c r="B825" s="23"/>
      <c r="C825" s="23"/>
    </row>
    <row r="826">
      <c r="A826" s="30"/>
      <c r="B826" s="23"/>
      <c r="C826" s="23"/>
    </row>
    <row r="827">
      <c r="A827" s="30"/>
      <c r="B827" s="23"/>
      <c r="C827" s="23"/>
    </row>
    <row r="828">
      <c r="A828" s="30"/>
      <c r="B828" s="23"/>
      <c r="C828" s="23"/>
    </row>
    <row r="829">
      <c r="A829" s="30"/>
      <c r="B829" s="23"/>
      <c r="C829" s="23"/>
    </row>
    <row r="830">
      <c r="A830" s="30"/>
      <c r="B830" s="23"/>
      <c r="C830" s="23"/>
    </row>
    <row r="831">
      <c r="A831" s="30"/>
      <c r="B831" s="23"/>
      <c r="C831" s="23"/>
    </row>
    <row r="832">
      <c r="A832" s="30"/>
      <c r="B832" s="23"/>
      <c r="C832" s="23"/>
    </row>
    <row r="833">
      <c r="A833" s="30"/>
      <c r="B833" s="23"/>
      <c r="C833" s="23"/>
    </row>
    <row r="834">
      <c r="A834" s="30"/>
      <c r="B834" s="23"/>
      <c r="C834" s="23"/>
    </row>
    <row r="835">
      <c r="A835" s="30"/>
      <c r="B835" s="23"/>
      <c r="C835" s="23"/>
    </row>
    <row r="836">
      <c r="A836" s="30"/>
      <c r="B836" s="23"/>
      <c r="C836" s="23"/>
    </row>
    <row r="837">
      <c r="A837" s="30"/>
      <c r="B837" s="23"/>
      <c r="C837" s="23"/>
    </row>
    <row r="838">
      <c r="A838" s="30"/>
      <c r="B838" s="23"/>
      <c r="C838" s="23"/>
    </row>
    <row r="839">
      <c r="A839" s="30"/>
      <c r="B839" s="23"/>
      <c r="C839" s="23"/>
    </row>
    <row r="840">
      <c r="A840" s="30"/>
      <c r="B840" s="23"/>
      <c r="C840" s="23"/>
    </row>
    <row r="841">
      <c r="A841" s="30"/>
      <c r="B841" s="23"/>
      <c r="C841" s="23"/>
    </row>
    <row r="842">
      <c r="A842" s="30"/>
      <c r="B842" s="23"/>
      <c r="C842" s="23"/>
    </row>
    <row r="843">
      <c r="A843" s="30"/>
      <c r="B843" s="23"/>
      <c r="C843" s="23"/>
    </row>
    <row r="844">
      <c r="A844" s="30"/>
      <c r="B844" s="23"/>
      <c r="C844" s="23"/>
    </row>
    <row r="845">
      <c r="A845" s="30"/>
      <c r="B845" s="23"/>
      <c r="C845" s="23"/>
    </row>
    <row r="846">
      <c r="A846" s="30"/>
      <c r="B846" s="23"/>
      <c r="C846" s="23"/>
    </row>
    <row r="847">
      <c r="A847" s="30"/>
      <c r="B847" s="23"/>
      <c r="C847" s="23"/>
    </row>
    <row r="848">
      <c r="A848" s="30"/>
      <c r="B848" s="23"/>
      <c r="C848" s="23"/>
    </row>
    <row r="849">
      <c r="A849" s="30"/>
      <c r="B849" s="23"/>
      <c r="C849" s="23"/>
    </row>
    <row r="850">
      <c r="A850" s="30"/>
      <c r="B850" s="23"/>
      <c r="C850" s="23"/>
    </row>
    <row r="851">
      <c r="A851" s="30"/>
      <c r="B851" s="23"/>
      <c r="C851" s="23"/>
    </row>
    <row r="852">
      <c r="A852" s="30"/>
      <c r="B852" s="23"/>
      <c r="C852" s="23"/>
    </row>
    <row r="853">
      <c r="A853" s="30"/>
      <c r="B853" s="23"/>
      <c r="C853" s="23"/>
    </row>
    <row r="854">
      <c r="A854" s="30"/>
      <c r="B854" s="23"/>
      <c r="C854" s="23"/>
    </row>
    <row r="855">
      <c r="A855" s="30"/>
      <c r="B855" s="23"/>
      <c r="C855" s="23"/>
    </row>
    <row r="856">
      <c r="A856" s="30"/>
      <c r="B856" s="23"/>
      <c r="C856" s="23"/>
    </row>
    <row r="857">
      <c r="A857" s="30"/>
      <c r="B857" s="23"/>
      <c r="C857" s="23"/>
    </row>
    <row r="858">
      <c r="A858" s="30"/>
      <c r="B858" s="23"/>
      <c r="C858" s="23"/>
    </row>
    <row r="859">
      <c r="A859" s="30"/>
      <c r="B859" s="23"/>
      <c r="C859" s="23"/>
    </row>
    <row r="860">
      <c r="A860" s="30"/>
      <c r="B860" s="23"/>
      <c r="C860" s="23"/>
    </row>
    <row r="861">
      <c r="A861" s="30"/>
      <c r="B861" s="23"/>
      <c r="C861" s="23"/>
    </row>
    <row r="862">
      <c r="A862" s="30"/>
      <c r="B862" s="23"/>
      <c r="C862" s="23"/>
    </row>
    <row r="863">
      <c r="A863" s="30"/>
      <c r="B863" s="23"/>
      <c r="C863" s="23"/>
    </row>
    <row r="864">
      <c r="A864" s="30"/>
      <c r="B864" s="23"/>
      <c r="C864" s="23"/>
    </row>
    <row r="865">
      <c r="A865" s="30"/>
      <c r="B865" s="23"/>
      <c r="C865" s="23"/>
    </row>
    <row r="866">
      <c r="A866" s="30"/>
      <c r="B866" s="23"/>
      <c r="C866" s="23"/>
    </row>
    <row r="867">
      <c r="A867" s="30"/>
      <c r="B867" s="23"/>
      <c r="C867" s="23"/>
    </row>
    <row r="868">
      <c r="A868" s="30"/>
      <c r="B868" s="23"/>
      <c r="C868" s="23"/>
    </row>
    <row r="869">
      <c r="A869" s="30"/>
      <c r="B869" s="23"/>
      <c r="C869" s="23"/>
    </row>
    <row r="870">
      <c r="A870" s="30"/>
      <c r="B870" s="23"/>
      <c r="C870" s="23"/>
    </row>
    <row r="871">
      <c r="A871" s="30"/>
      <c r="B871" s="23"/>
      <c r="C871" s="23"/>
    </row>
    <row r="872">
      <c r="A872" s="30"/>
      <c r="B872" s="23"/>
      <c r="C872" s="23"/>
    </row>
    <row r="873">
      <c r="A873" s="30"/>
      <c r="B873" s="23"/>
      <c r="C873" s="23"/>
    </row>
    <row r="874">
      <c r="A874" s="30"/>
      <c r="B874" s="23"/>
      <c r="C874" s="23"/>
    </row>
    <row r="875">
      <c r="A875" s="30"/>
      <c r="B875" s="23"/>
      <c r="C875" s="23"/>
    </row>
    <row r="876">
      <c r="A876" s="30"/>
      <c r="B876" s="23"/>
      <c r="C876" s="23"/>
    </row>
    <row r="877">
      <c r="A877" s="30"/>
      <c r="B877" s="23"/>
      <c r="C877" s="23"/>
    </row>
    <row r="878">
      <c r="A878" s="30"/>
      <c r="B878" s="23"/>
      <c r="C878" s="23"/>
    </row>
    <row r="879">
      <c r="A879" s="30"/>
      <c r="B879" s="23"/>
      <c r="C879" s="23"/>
    </row>
    <row r="880">
      <c r="A880" s="30"/>
      <c r="B880" s="23"/>
      <c r="C880" s="23"/>
    </row>
    <row r="881">
      <c r="A881" s="30"/>
      <c r="B881" s="23"/>
      <c r="C881" s="23"/>
    </row>
    <row r="882">
      <c r="A882" s="30"/>
      <c r="B882" s="23"/>
      <c r="C882" s="23"/>
    </row>
    <row r="883">
      <c r="A883" s="30"/>
      <c r="B883" s="23"/>
      <c r="C883" s="23"/>
    </row>
    <row r="884">
      <c r="A884" s="30"/>
      <c r="B884" s="23"/>
      <c r="C884" s="23"/>
    </row>
    <row r="885">
      <c r="A885" s="30"/>
      <c r="B885" s="23"/>
      <c r="C885" s="23"/>
    </row>
    <row r="886">
      <c r="A886" s="30"/>
      <c r="B886" s="23"/>
      <c r="C886" s="23"/>
    </row>
    <row r="887">
      <c r="A887" s="30"/>
      <c r="B887" s="23"/>
      <c r="C887" s="23"/>
    </row>
    <row r="888">
      <c r="A888" s="30"/>
      <c r="B888" s="23"/>
      <c r="C888" s="23"/>
    </row>
    <row r="889">
      <c r="A889" s="30"/>
      <c r="B889" s="23"/>
      <c r="C889" s="23"/>
    </row>
    <row r="890">
      <c r="A890" s="30"/>
      <c r="B890" s="23"/>
      <c r="C890" s="23"/>
    </row>
    <row r="891">
      <c r="A891" s="30"/>
      <c r="B891" s="23"/>
      <c r="C891" s="23"/>
    </row>
    <row r="892">
      <c r="A892" s="30"/>
      <c r="B892" s="23"/>
      <c r="C892" s="23"/>
    </row>
    <row r="893">
      <c r="A893" s="30"/>
      <c r="B893" s="23"/>
      <c r="C893" s="23"/>
    </row>
    <row r="894">
      <c r="A894" s="30"/>
      <c r="B894" s="23"/>
      <c r="C894" s="23"/>
    </row>
    <row r="895">
      <c r="A895" s="30"/>
      <c r="B895" s="23"/>
      <c r="C895" s="23"/>
    </row>
    <row r="896">
      <c r="A896" s="30"/>
      <c r="B896" s="23"/>
      <c r="C896" s="23"/>
    </row>
    <row r="897">
      <c r="A897" s="30"/>
      <c r="B897" s="23"/>
      <c r="C897" s="23"/>
    </row>
    <row r="898">
      <c r="A898" s="30"/>
      <c r="B898" s="23"/>
      <c r="C898" s="23"/>
    </row>
    <row r="899">
      <c r="A899" s="30"/>
      <c r="B899" s="23"/>
      <c r="C899" s="23"/>
    </row>
    <row r="900">
      <c r="A900" s="30"/>
      <c r="B900" s="23"/>
      <c r="C900" s="23"/>
    </row>
    <row r="901">
      <c r="A901" s="30"/>
      <c r="B901" s="23"/>
      <c r="C901" s="23"/>
    </row>
    <row r="902">
      <c r="A902" s="30"/>
      <c r="B902" s="23"/>
      <c r="C902" s="23"/>
    </row>
    <row r="903">
      <c r="A903" s="30"/>
      <c r="B903" s="23"/>
      <c r="C903" s="23"/>
    </row>
    <row r="904">
      <c r="A904" s="30"/>
      <c r="B904" s="23"/>
      <c r="C904" s="23"/>
    </row>
    <row r="905">
      <c r="A905" s="30"/>
      <c r="B905" s="23"/>
      <c r="C905" s="23"/>
    </row>
    <row r="906">
      <c r="A906" s="30"/>
      <c r="B906" s="23"/>
      <c r="C906" s="23"/>
    </row>
    <row r="907">
      <c r="A907" s="30"/>
      <c r="B907" s="23"/>
      <c r="C907" s="23"/>
    </row>
    <row r="908">
      <c r="A908" s="30"/>
      <c r="B908" s="23"/>
      <c r="C908" s="23"/>
    </row>
    <row r="909">
      <c r="A909" s="30"/>
      <c r="B909" s="23"/>
      <c r="C909" s="23"/>
    </row>
    <row r="910">
      <c r="A910" s="30"/>
      <c r="B910" s="23"/>
      <c r="C910" s="23"/>
    </row>
    <row r="911">
      <c r="A911" s="30"/>
      <c r="B911" s="23"/>
      <c r="C911" s="23"/>
    </row>
    <row r="912">
      <c r="A912" s="30"/>
      <c r="B912" s="23"/>
      <c r="C912" s="23"/>
    </row>
    <row r="913">
      <c r="A913" s="30"/>
      <c r="B913" s="23"/>
      <c r="C913" s="23"/>
    </row>
    <row r="914">
      <c r="A914" s="30"/>
      <c r="B914" s="23"/>
      <c r="C914" s="23"/>
    </row>
    <row r="915">
      <c r="A915" s="30"/>
      <c r="B915" s="23"/>
      <c r="C915" s="23"/>
    </row>
    <row r="916">
      <c r="A916" s="30"/>
      <c r="B916" s="23"/>
      <c r="C916" s="23"/>
    </row>
    <row r="917">
      <c r="A917" s="30"/>
      <c r="B917" s="23"/>
      <c r="C917" s="23"/>
    </row>
    <row r="918">
      <c r="A918" s="30"/>
      <c r="B918" s="23"/>
      <c r="C918" s="23"/>
    </row>
    <row r="919">
      <c r="A919" s="30"/>
      <c r="B919" s="23"/>
      <c r="C919" s="23"/>
    </row>
    <row r="920">
      <c r="A920" s="30"/>
      <c r="B920" s="23"/>
      <c r="C920" s="23"/>
    </row>
    <row r="921">
      <c r="A921" s="30"/>
      <c r="B921" s="23"/>
      <c r="C921" s="23"/>
    </row>
    <row r="922">
      <c r="A922" s="30"/>
      <c r="B922" s="23"/>
      <c r="C922" s="23"/>
    </row>
    <row r="923">
      <c r="A923" s="30"/>
      <c r="B923" s="23"/>
      <c r="C923" s="23"/>
    </row>
    <row r="924">
      <c r="A924" s="30"/>
      <c r="B924" s="23"/>
      <c r="C924" s="23"/>
    </row>
    <row r="925">
      <c r="A925" s="30"/>
      <c r="B925" s="23"/>
      <c r="C925" s="23"/>
    </row>
    <row r="926">
      <c r="A926" s="30"/>
      <c r="B926" s="23"/>
      <c r="C926" s="23"/>
    </row>
    <row r="927">
      <c r="A927" s="30"/>
      <c r="B927" s="23"/>
      <c r="C927" s="23"/>
    </row>
    <row r="928">
      <c r="A928" s="30"/>
      <c r="B928" s="23"/>
      <c r="C928" s="23"/>
    </row>
    <row r="929">
      <c r="A929" s="30"/>
      <c r="B929" s="23"/>
      <c r="C929" s="23"/>
    </row>
    <row r="930">
      <c r="A930" s="30"/>
      <c r="B930" s="23"/>
      <c r="C930" s="23"/>
    </row>
    <row r="931">
      <c r="A931" s="30"/>
      <c r="B931" s="23"/>
      <c r="C931" s="23"/>
    </row>
    <row r="932">
      <c r="A932" s="30"/>
      <c r="B932" s="23"/>
      <c r="C932" s="23"/>
    </row>
    <row r="933">
      <c r="A933" s="30"/>
      <c r="B933" s="23"/>
      <c r="C933" s="23"/>
    </row>
    <row r="934">
      <c r="A934" s="30"/>
      <c r="B934" s="23"/>
      <c r="C934" s="23"/>
    </row>
    <row r="935">
      <c r="A935" s="30"/>
      <c r="B935" s="23"/>
      <c r="C935" s="23"/>
    </row>
    <row r="936">
      <c r="A936" s="30"/>
      <c r="B936" s="23"/>
      <c r="C936" s="23"/>
    </row>
    <row r="937">
      <c r="A937" s="30"/>
      <c r="B937" s="23"/>
      <c r="C937" s="23"/>
    </row>
    <row r="938">
      <c r="A938" s="30"/>
      <c r="B938" s="23"/>
      <c r="C938" s="23"/>
    </row>
    <row r="939">
      <c r="A939" s="30"/>
      <c r="B939" s="23"/>
      <c r="C939" s="23"/>
    </row>
    <row r="940">
      <c r="A940" s="30"/>
      <c r="B940" s="23"/>
      <c r="C940" s="23"/>
    </row>
    <row r="941">
      <c r="A941" s="30"/>
      <c r="B941" s="23"/>
      <c r="C941" s="23"/>
    </row>
    <row r="942">
      <c r="A942" s="30"/>
      <c r="B942" s="23"/>
      <c r="C942" s="23"/>
    </row>
    <row r="943">
      <c r="A943" s="30"/>
      <c r="B943" s="23"/>
      <c r="C943" s="23"/>
    </row>
    <row r="944">
      <c r="A944" s="30"/>
      <c r="B944" s="23"/>
      <c r="C944" s="23"/>
    </row>
    <row r="945">
      <c r="A945" s="30"/>
      <c r="B945" s="23"/>
      <c r="C945" s="23"/>
    </row>
    <row r="946">
      <c r="A946" s="30"/>
      <c r="B946" s="23"/>
      <c r="C946" s="23"/>
    </row>
    <row r="947">
      <c r="A947" s="30"/>
      <c r="B947" s="23"/>
      <c r="C947" s="23"/>
    </row>
    <row r="948">
      <c r="A948" s="30"/>
      <c r="B948" s="23"/>
      <c r="C948" s="23"/>
    </row>
    <row r="949">
      <c r="A949" s="30"/>
      <c r="B949" s="23"/>
      <c r="C949" s="23"/>
    </row>
    <row r="950">
      <c r="A950" s="30"/>
      <c r="B950" s="23"/>
      <c r="C950" s="23"/>
    </row>
    <row r="951">
      <c r="A951" s="30"/>
      <c r="B951" s="23"/>
      <c r="C951" s="23"/>
    </row>
    <row r="952">
      <c r="A952" s="30"/>
      <c r="B952" s="23"/>
      <c r="C952" s="23"/>
    </row>
    <row r="953">
      <c r="A953" s="30"/>
      <c r="B953" s="23"/>
      <c r="C953" s="23"/>
    </row>
    <row r="954">
      <c r="A954" s="30"/>
      <c r="B954" s="23"/>
      <c r="C954" s="23"/>
    </row>
    <row r="955">
      <c r="A955" s="30"/>
      <c r="B955" s="23"/>
      <c r="C955" s="23"/>
    </row>
    <row r="956">
      <c r="A956" s="30"/>
      <c r="B956" s="23"/>
      <c r="C956" s="23"/>
    </row>
    <row r="957">
      <c r="A957" s="30"/>
      <c r="B957" s="23"/>
      <c r="C957" s="23"/>
    </row>
    <row r="958">
      <c r="A958" s="30"/>
      <c r="B958" s="23"/>
      <c r="C958" s="23"/>
    </row>
    <row r="959">
      <c r="A959" s="30"/>
      <c r="B959" s="23"/>
      <c r="C959" s="23"/>
    </row>
    <row r="960">
      <c r="A960" s="30"/>
      <c r="B960" s="23"/>
      <c r="C960" s="23"/>
    </row>
    <row r="961">
      <c r="A961" s="30"/>
      <c r="B961" s="23"/>
      <c r="C961" s="23"/>
    </row>
    <row r="962">
      <c r="A962" s="30"/>
      <c r="B962" s="23"/>
      <c r="C962" s="23"/>
    </row>
    <row r="963">
      <c r="A963" s="30"/>
      <c r="B963" s="23"/>
      <c r="C963" s="23"/>
    </row>
    <row r="964">
      <c r="A964" s="30"/>
      <c r="B964" s="23"/>
      <c r="C964" s="23"/>
    </row>
    <row r="965">
      <c r="A965" s="30"/>
      <c r="B965" s="23"/>
      <c r="C965" s="23"/>
    </row>
    <row r="966">
      <c r="A966" s="30"/>
      <c r="B966" s="23"/>
      <c r="C966" s="23"/>
    </row>
    <row r="967">
      <c r="A967" s="30"/>
      <c r="B967" s="23"/>
      <c r="C967" s="23"/>
    </row>
    <row r="968">
      <c r="A968" s="30"/>
      <c r="B968" s="23"/>
      <c r="C968" s="23"/>
    </row>
    <row r="969">
      <c r="A969" s="30"/>
      <c r="B969" s="23"/>
      <c r="C969" s="23"/>
    </row>
    <row r="970">
      <c r="A970" s="30"/>
      <c r="B970" s="23"/>
      <c r="C970" s="23"/>
    </row>
    <row r="971">
      <c r="A971" s="30"/>
      <c r="B971" s="23"/>
      <c r="C971" s="23"/>
    </row>
    <row r="972">
      <c r="A972" s="30"/>
      <c r="B972" s="23"/>
      <c r="C972" s="23"/>
    </row>
    <row r="973">
      <c r="A973" s="30"/>
      <c r="B973" s="23"/>
      <c r="C973" s="23"/>
    </row>
    <row r="974">
      <c r="A974" s="30"/>
      <c r="B974" s="23"/>
      <c r="C974" s="23"/>
    </row>
    <row r="975">
      <c r="A975" s="30"/>
      <c r="B975" s="23"/>
      <c r="C975" s="23"/>
    </row>
    <row r="976">
      <c r="A976" s="30"/>
      <c r="B976" s="23"/>
      <c r="C976" s="23"/>
    </row>
    <row r="977">
      <c r="A977" s="30"/>
      <c r="B977" s="23"/>
      <c r="C977" s="23"/>
    </row>
    <row r="978">
      <c r="A978" s="30"/>
      <c r="B978" s="23"/>
      <c r="C978" s="23"/>
    </row>
    <row r="979">
      <c r="A979" s="30"/>
      <c r="B979" s="23"/>
      <c r="C979" s="23"/>
    </row>
    <row r="980">
      <c r="A980" s="30"/>
      <c r="B980" s="23"/>
      <c r="C980" s="23"/>
    </row>
    <row r="981">
      <c r="A981" s="30"/>
      <c r="B981" s="23"/>
      <c r="C981" s="23"/>
    </row>
    <row r="982">
      <c r="A982" s="30"/>
      <c r="B982" s="23"/>
      <c r="C982" s="23"/>
    </row>
    <row r="983">
      <c r="A983" s="30"/>
      <c r="B983" s="23"/>
      <c r="C983" s="23"/>
    </row>
    <row r="984">
      <c r="A984" s="30"/>
      <c r="B984" s="23"/>
      <c r="C984" s="23"/>
    </row>
    <row r="985">
      <c r="A985" s="30"/>
      <c r="B985" s="23"/>
      <c r="C985" s="23"/>
    </row>
    <row r="986">
      <c r="A986" s="30"/>
      <c r="B986" s="23"/>
      <c r="C986" s="23"/>
    </row>
    <row r="987">
      <c r="A987" s="30"/>
      <c r="B987" s="23"/>
      <c r="C987" s="23"/>
    </row>
    <row r="988">
      <c r="A988" s="30"/>
      <c r="B988" s="23"/>
      <c r="C988" s="23"/>
    </row>
    <row r="989">
      <c r="A989" s="30"/>
      <c r="B989" s="23"/>
      <c r="C989" s="23"/>
    </row>
    <row r="990">
      <c r="A990" s="30"/>
      <c r="B990" s="23"/>
      <c r="C990" s="23"/>
    </row>
    <row r="991">
      <c r="A991" s="30"/>
      <c r="B991" s="23"/>
      <c r="C991" s="23"/>
    </row>
    <row r="992">
      <c r="A992" s="30"/>
      <c r="B992" s="23"/>
      <c r="C992" s="23"/>
    </row>
    <row r="993">
      <c r="A993" s="30"/>
      <c r="B993" s="23"/>
      <c r="C993" s="23"/>
    </row>
    <row r="994">
      <c r="A994" s="30"/>
      <c r="B994" s="23"/>
      <c r="C994" s="23"/>
    </row>
    <row r="995">
      <c r="A995" s="30"/>
      <c r="B995" s="23"/>
      <c r="C995" s="23"/>
    </row>
    <row r="996">
      <c r="A996" s="30"/>
      <c r="B996" s="23"/>
      <c r="C996" s="23"/>
    </row>
    <row r="997">
      <c r="A997" s="30"/>
      <c r="B997" s="23"/>
      <c r="C997" s="23"/>
    </row>
    <row r="998">
      <c r="A998" s="30"/>
      <c r="B998" s="23"/>
      <c r="C998" s="23"/>
    </row>
    <row r="999">
      <c r="A999" s="30"/>
      <c r="B999" s="23"/>
      <c r="C999" s="23"/>
    </row>
    <row r="1000">
      <c r="A1000" s="30"/>
      <c r="B1000" s="23"/>
      <c r="C1000" s="23"/>
    </row>
  </sheetData>
  <hyperlinks>
    <hyperlink r:id="rId1" ref="B1"/>
    <hyperlink r:id="rId2" ref="C1"/>
    <hyperlink r:id="rId3" ref="F1"/>
    <hyperlink r:id="rId4" ref="G1"/>
  </hyperlinks>
  <drawing r:id="rId5"/>
  <tableParts count="2">
    <tablePart r:id="rId8"/>
    <tablePart r:id="rId9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" t="s">
        <v>0</v>
      </c>
      <c r="B1" s="55" t="s">
        <v>38</v>
      </c>
      <c r="C1" s="55" t="s">
        <v>39</v>
      </c>
      <c r="D1" s="55" t="s">
        <v>40</v>
      </c>
      <c r="E1" s="55" t="s">
        <v>41</v>
      </c>
      <c r="F1" s="56" t="s">
        <v>42</v>
      </c>
      <c r="G1" s="56" t="s">
        <v>43</v>
      </c>
      <c r="I1" s="43" t="s">
        <v>1</v>
      </c>
      <c r="J1" s="43" t="s">
        <v>2</v>
      </c>
    </row>
    <row r="2">
      <c r="A2" s="32">
        <v>46048.0</v>
      </c>
      <c r="B2" s="34">
        <v>-0.030538783093358224</v>
      </c>
      <c r="C2" s="34">
        <v>0.016399351234456683</v>
      </c>
      <c r="D2" s="57">
        <f t="shared" ref="D2:E2" si="1">B2-AVERAGE(B$2:B$52)</f>
        <v>-0.0277439771</v>
      </c>
      <c r="E2" s="57">
        <f t="shared" si="1"/>
        <v>0.01496890039</v>
      </c>
      <c r="F2" s="58">
        <f t="shared" ref="F2:G2" si="2">B2*D2</f>
        <v>0.0008472672987</v>
      </c>
      <c r="G2" s="58">
        <f t="shared" si="2"/>
        <v>0.0002454802551</v>
      </c>
      <c r="H2" s="52" t="s">
        <v>44</v>
      </c>
      <c r="I2" s="59">
        <f>_xlfn.COVARIANCE.S(B2:B52,C2:C52)</f>
        <v>0.0005500502377</v>
      </c>
      <c r="J2" s="60"/>
    </row>
    <row r="3">
      <c r="A3" s="32">
        <v>46041.0</v>
      </c>
      <c r="B3" s="34">
        <v>-0.021363636363636362</v>
      </c>
      <c r="C3" s="34">
        <v>-0.0019784172661870825</v>
      </c>
      <c r="D3" s="57">
        <f t="shared" ref="D3:E3" si="3">B3-AVERAGE(B$2:B$52)</f>
        <v>-0.01856883037</v>
      </c>
      <c r="E3" s="57">
        <f t="shared" si="3"/>
        <v>-0.003408868111</v>
      </c>
      <c r="F3" s="58">
        <f t="shared" ref="F3:G3" si="4">B3*D3</f>
        <v>0.0003966977396</v>
      </c>
      <c r="G3" s="58">
        <f t="shared" si="4"/>
        <v>0.000006744163529</v>
      </c>
      <c r="H3" s="52" t="s">
        <v>45</v>
      </c>
      <c r="I3" s="52">
        <f>CORREL(B2:B52,C2:C52)</f>
        <v>0.2874986036</v>
      </c>
      <c r="J3" s="60"/>
    </row>
    <row r="4">
      <c r="A4" s="32">
        <v>46034.0</v>
      </c>
      <c r="B4" s="34">
        <v>-0.016320143080706395</v>
      </c>
      <c r="C4" s="34">
        <v>-0.04038660683465645</v>
      </c>
      <c r="D4" s="57">
        <f t="shared" ref="D4:E4" si="5">B4-AVERAGE(B$2:B$52)</f>
        <v>-0.01352533708</v>
      </c>
      <c r="E4" s="57">
        <f t="shared" si="5"/>
        <v>-0.04181705768</v>
      </c>
      <c r="F4" s="58">
        <f t="shared" ref="F4:G4" si="6">B4*D4</f>
        <v>0.0002207354364</v>
      </c>
      <c r="G4" s="58">
        <f t="shared" si="6"/>
        <v>0.001688849067</v>
      </c>
      <c r="H4" s="60"/>
      <c r="I4" s="60"/>
      <c r="J4" s="60"/>
    </row>
    <row r="5">
      <c r="A5" s="32">
        <v>46027.0</v>
      </c>
      <c r="B5" s="34">
        <v>-0.016815034619188984</v>
      </c>
      <c r="C5" s="34">
        <v>0.03603039785426909</v>
      </c>
      <c r="D5" s="57">
        <f t="shared" ref="D5:E5" si="7">B5-AVERAGE(B$2:B$52)</f>
        <v>-0.01402022862</v>
      </c>
      <c r="E5" s="57">
        <f t="shared" si="7"/>
        <v>0.03459994701</v>
      </c>
      <c r="F5" s="58">
        <f t="shared" ref="F5:G5" si="8">B5*D5</f>
        <v>0.0002357506296</v>
      </c>
      <c r="G5" s="58">
        <f t="shared" si="8"/>
        <v>0.001246649856</v>
      </c>
      <c r="H5" s="52" t="s">
        <v>46</v>
      </c>
      <c r="I5" s="61">
        <f t="shared" ref="I5:J5" si="9">SUM(F2:F52)/50</f>
        <v>0.002065500713</v>
      </c>
      <c r="J5" s="61">
        <f t="shared" si="9"/>
        <v>0.00177218022</v>
      </c>
    </row>
    <row r="6">
      <c r="A6" s="32">
        <v>46020.0</v>
      </c>
      <c r="B6" s="34">
        <v>-0.03683709114004452</v>
      </c>
      <c r="C6" s="34">
        <v>-0.015058119056005737</v>
      </c>
      <c r="D6" s="57">
        <f t="shared" ref="D6:E6" si="10">B6-AVERAGE(B$2:B$52)</f>
        <v>-0.03404228514</v>
      </c>
      <c r="E6" s="57">
        <f t="shared" si="10"/>
        <v>-0.0164885699</v>
      </c>
      <c r="F6" s="58">
        <f t="shared" ref="F6:G6" si="11">B6*D6</f>
        <v>0.00125401876</v>
      </c>
      <c r="G6" s="58">
        <f t="shared" si="11"/>
        <v>0.0002482868486</v>
      </c>
      <c r="H6" s="52" t="s">
        <v>47</v>
      </c>
      <c r="I6" s="62">
        <f t="shared" ref="I6:J6" si="12">STDEV(B2:B52)</f>
        <v>0.04544778006</v>
      </c>
      <c r="J6" s="62">
        <f t="shared" si="12"/>
        <v>0.04209727094</v>
      </c>
    </row>
    <row r="7">
      <c r="A7" s="32">
        <v>46013.0</v>
      </c>
      <c r="B7" s="34">
        <v>8.475474096831803E-4</v>
      </c>
      <c r="C7" s="34">
        <v>0.02778531993845612</v>
      </c>
      <c r="D7" s="57">
        <f t="shared" ref="D7:E7" si="13">B7-AVERAGE(B$2:B$52)</f>
        <v>0.003642353407</v>
      </c>
      <c r="E7" s="57">
        <f t="shared" si="13"/>
        <v>0.02635486909</v>
      </c>
      <c r="F7" s="58">
        <f t="shared" ref="F7:G7" si="14">B7*D7</f>
        <v>0.000003087067195</v>
      </c>
      <c r="G7" s="58">
        <f t="shared" si="14"/>
        <v>0.0007322784697</v>
      </c>
    </row>
    <row r="8">
      <c r="A8" s="32">
        <v>46006.0</v>
      </c>
      <c r="B8" s="34">
        <v>-0.008404244143292328</v>
      </c>
      <c r="C8" s="34">
        <v>-0.0032476319350474014</v>
      </c>
      <c r="D8" s="57">
        <f t="shared" ref="D8:E8" si="15">B8-AVERAGE(B$2:B$52)</f>
        <v>-0.005609438146</v>
      </c>
      <c r="E8" s="57">
        <f t="shared" si="15"/>
        <v>-0.00467808278</v>
      </c>
      <c r="F8" s="58">
        <f t="shared" ref="F8:G8" si="16">B8*D8</f>
        <v>0.00004714308769</v>
      </c>
      <c r="G8" s="58">
        <f t="shared" si="16"/>
        <v>0.00001519269103</v>
      </c>
      <c r="I8" s="13" t="s">
        <v>48</v>
      </c>
    </row>
    <row r="9">
      <c r="A9" s="32">
        <v>45999.0</v>
      </c>
      <c r="B9" s="34">
        <v>-0.05037909018355946</v>
      </c>
      <c r="C9" s="34">
        <v>0.05985275838990334</v>
      </c>
      <c r="D9" s="57">
        <f t="shared" ref="D9:E9" si="17">B9-AVERAGE(B$2:B$52)</f>
        <v>-0.04758428419</v>
      </c>
      <c r="E9" s="57">
        <f t="shared" si="17"/>
        <v>0.05842230755</v>
      </c>
      <c r="F9" s="58">
        <f t="shared" ref="F9:G9" si="18">B9*D9</f>
        <v>0.002397252944</v>
      </c>
      <c r="G9" s="58">
        <f t="shared" si="18"/>
        <v>0.003496736258</v>
      </c>
      <c r="I9" s="13" t="s">
        <v>49</v>
      </c>
    </row>
    <row r="10">
      <c r="A10" s="32">
        <v>45992.0</v>
      </c>
      <c r="B10" s="34">
        <v>-0.06822829522216034</v>
      </c>
      <c r="C10" s="34">
        <v>0.007902091163149327</v>
      </c>
      <c r="D10" s="57">
        <f t="shared" ref="D10:E10" si="19">B10-AVERAGE(B$2:B$52)</f>
        <v>-0.06543348922</v>
      </c>
      <c r="E10" s="57">
        <f t="shared" si="19"/>
        <v>0.006471640319</v>
      </c>
      <c r="F10" s="58">
        <f t="shared" ref="F10:G10" si="20">B10*D10</f>
        <v>0.00446441542</v>
      </c>
      <c r="G10" s="58">
        <f t="shared" si="20"/>
        <v>0.00005113949177</v>
      </c>
    </row>
    <row r="11">
      <c r="A11" s="32">
        <v>45985.0</v>
      </c>
      <c r="B11" s="34">
        <v>0.0313488639631867</v>
      </c>
      <c r="C11" s="34">
        <v>0.0018343309519210926</v>
      </c>
      <c r="D11" s="57">
        <f t="shared" ref="D11:E11" si="21">B11-AVERAGE(B$2:B$52)</f>
        <v>0.03414366996</v>
      </c>
      <c r="E11" s="57">
        <f t="shared" si="21"/>
        <v>0.0004038801073</v>
      </c>
      <c r="F11" s="58">
        <f t="shared" ref="F11:G11" si="22">B11*D11</f>
        <v>0.001070365265</v>
      </c>
      <c r="G11" s="58">
        <f t="shared" si="22"/>
        <v>0.0000007408497817</v>
      </c>
    </row>
    <row r="12">
      <c r="A12" s="32">
        <v>45978.0</v>
      </c>
      <c r="B12" s="34">
        <v>-0.06212911346880057</v>
      </c>
      <c r="C12" s="34">
        <v>-0.014368636406889346</v>
      </c>
      <c r="D12" s="57">
        <f t="shared" ref="D12:E12" si="23">B12-AVERAGE(B$2:B$52)</f>
        <v>-0.05933430747</v>
      </c>
      <c r="E12" s="57">
        <f t="shared" si="23"/>
        <v>-0.01579908725</v>
      </c>
      <c r="F12" s="58">
        <f t="shared" ref="F12:G12" si="24">B12*D12</f>
        <v>0.003686387921</v>
      </c>
      <c r="G12" s="58">
        <f t="shared" si="24"/>
        <v>0.0002270113403</v>
      </c>
    </row>
    <row r="13">
      <c r="A13" s="32">
        <v>45971.0</v>
      </c>
      <c r="B13" s="34">
        <v>0.007701368125396346</v>
      </c>
      <c r="C13" s="34">
        <v>-0.044636363636363585</v>
      </c>
      <c r="D13" s="57">
        <f t="shared" ref="D13:E13" si="25">B13-AVERAGE(B$2:B$52)</f>
        <v>0.01049617412</v>
      </c>
      <c r="E13" s="57">
        <f t="shared" si="25"/>
        <v>-0.04606681448</v>
      </c>
      <c r="F13" s="58">
        <f t="shared" ref="F13:G13" si="26">B13*D13</f>
        <v>0.00008083490083</v>
      </c>
      <c r="G13" s="58">
        <f t="shared" si="26"/>
        <v>0.002056255083</v>
      </c>
    </row>
    <row r="14">
      <c r="A14" s="32">
        <v>45964.0</v>
      </c>
      <c r="B14" s="34">
        <v>-0.013584770756993492</v>
      </c>
      <c r="C14" s="34">
        <v>-0.016627927766851403</v>
      </c>
      <c r="D14" s="57">
        <f t="shared" ref="D14:E14" si="27">B14-AVERAGE(B$2:B$52)</f>
        <v>-0.01078996476</v>
      </c>
      <c r="E14" s="57">
        <f t="shared" si="27"/>
        <v>-0.01805837861</v>
      </c>
      <c r="F14" s="58">
        <f t="shared" ref="F14:G14" si="28">B14*D14</f>
        <v>0.0001465791977</v>
      </c>
      <c r="G14" s="58">
        <f t="shared" si="28"/>
        <v>0.0003002734151</v>
      </c>
    </row>
    <row r="15">
      <c r="A15" s="32">
        <v>45957.0</v>
      </c>
      <c r="B15" s="34">
        <v>0.022106513199963373</v>
      </c>
      <c r="C15" s="34">
        <v>0.008383665374560367</v>
      </c>
      <c r="D15" s="57">
        <f t="shared" ref="D15:E15" si="29">B15-AVERAGE(B$2:B$52)</f>
        <v>0.0249013192</v>
      </c>
      <c r="E15" s="57">
        <f t="shared" si="29"/>
        <v>0.00695321453</v>
      </c>
      <c r="F15" s="58">
        <f t="shared" ref="F15:G15" si="30">B15*D15</f>
        <v>0.0005504813415</v>
      </c>
      <c r="G15" s="58">
        <f t="shared" si="30"/>
        <v>0.0000582934239</v>
      </c>
    </row>
    <row r="16">
      <c r="A16" s="32">
        <v>45950.0</v>
      </c>
      <c r="B16" s="34">
        <v>-0.08729364682341167</v>
      </c>
      <c r="C16" s="34">
        <v>0.009096697898662853</v>
      </c>
      <c r="D16" s="57">
        <f t="shared" ref="D16:E16" si="31">B16-AVERAGE(B$2:B$52)</f>
        <v>-0.08449884083</v>
      </c>
      <c r="E16" s="57">
        <f t="shared" si="31"/>
        <v>0.007666247054</v>
      </c>
      <c r="F16" s="58">
        <f t="shared" ref="F16:G16" si="32">B16*D16</f>
        <v>0.007376211968</v>
      </c>
      <c r="G16" s="58">
        <f t="shared" si="32"/>
        <v>0.00006973753347</v>
      </c>
    </row>
    <row r="17">
      <c r="A17" s="32">
        <v>45943.0</v>
      </c>
      <c r="B17" s="34">
        <v>-0.016965822473567815</v>
      </c>
      <c r="C17" s="34">
        <v>0.013553383735939617</v>
      </c>
      <c r="D17" s="57">
        <f t="shared" ref="D17:E17" si="33">B17-AVERAGE(B$2:B$52)</f>
        <v>-0.01417101648</v>
      </c>
      <c r="E17" s="57">
        <f t="shared" si="33"/>
        <v>0.01212293289</v>
      </c>
      <c r="F17" s="58">
        <f t="shared" ref="F17:G17" si="34">B17*D17</f>
        <v>0.0002404229498</v>
      </c>
      <c r="G17" s="58">
        <f t="shared" si="34"/>
        <v>0.0001643067615</v>
      </c>
    </row>
    <row r="18">
      <c r="A18" s="32">
        <v>45936.0</v>
      </c>
      <c r="B18" s="34">
        <v>0.05792074915459988</v>
      </c>
      <c r="C18" s="34">
        <v>-0.02909318771819891</v>
      </c>
      <c r="D18" s="57">
        <f t="shared" ref="D18:E18" si="35">B18-AVERAGE(B$2:B$52)</f>
        <v>0.06071555515</v>
      </c>
      <c r="E18" s="57">
        <f t="shared" si="35"/>
        <v>-0.03052363856</v>
      </c>
      <c r="F18" s="58">
        <f t="shared" ref="F18:G18" si="36">B18*D18</f>
        <v>0.00351669044</v>
      </c>
      <c r="G18" s="58">
        <f t="shared" si="36"/>
        <v>0.0008880299466</v>
      </c>
    </row>
    <row r="19">
      <c r="A19" s="32">
        <v>45929.0</v>
      </c>
      <c r="B19" s="34">
        <v>-0.0473319015364283</v>
      </c>
      <c r="C19" s="34">
        <v>-0.00887232721142761</v>
      </c>
      <c r="D19" s="57">
        <f t="shared" ref="D19:E19" si="37">B19-AVERAGE(B$2:B$52)</f>
        <v>-0.04453709554</v>
      </c>
      <c r="E19" s="57">
        <f t="shared" si="37"/>
        <v>-0.01030277806</v>
      </c>
      <c r="F19" s="58">
        <f t="shared" ref="F19:G19" si="38">B19*D19</f>
        <v>0.002108025421</v>
      </c>
      <c r="G19" s="58">
        <f t="shared" si="38"/>
        <v>0.0000914096181</v>
      </c>
    </row>
    <row r="20">
      <c r="A20" s="32">
        <v>45922.0</v>
      </c>
      <c r="B20" s="34">
        <v>-0.013365933170334188</v>
      </c>
      <c r="C20" s="34">
        <v>-0.0025663716814159354</v>
      </c>
      <c r="D20" s="57">
        <f t="shared" ref="D20:E20" si="39">B20-AVERAGE(B$2:B$52)</f>
        <v>-0.01057112717</v>
      </c>
      <c r="E20" s="57">
        <f t="shared" si="39"/>
        <v>-0.003996822526</v>
      </c>
      <c r="F20" s="58">
        <f t="shared" ref="F20:G20" si="40">B20*D20</f>
        <v>0.0001412929793</v>
      </c>
      <c r="G20" s="58">
        <f t="shared" si="40"/>
        <v>0.00001025733215</v>
      </c>
    </row>
    <row r="21">
      <c r="A21" s="32">
        <v>45915.0</v>
      </c>
      <c r="B21" s="34">
        <v>0.03248064624705482</v>
      </c>
      <c r="C21" s="34">
        <v>-0.01892689703073458</v>
      </c>
      <c r="D21" s="57">
        <f t="shared" ref="D21:E21" si="41">B21-AVERAGE(B$2:B$52)</f>
        <v>0.03527545224</v>
      </c>
      <c r="E21" s="57">
        <f t="shared" si="41"/>
        <v>-0.02035734788</v>
      </c>
      <c r="F21" s="58">
        <f t="shared" ref="F21:G21" si="42">B21*D21</f>
        <v>0.001145769486</v>
      </c>
      <c r="G21" s="58">
        <f t="shared" si="42"/>
        <v>0.0003853014271</v>
      </c>
    </row>
    <row r="22">
      <c r="A22" s="32">
        <v>45908.0</v>
      </c>
      <c r="B22" s="34">
        <v>-0.04454092297797063</v>
      </c>
      <c r="C22" s="34">
        <v>-0.01656420765027322</v>
      </c>
      <c r="D22" s="57">
        <f t="shared" ref="D22:E22" si="43">B22-AVERAGE(B$2:B$52)</f>
        <v>-0.04174611698</v>
      </c>
      <c r="E22" s="57">
        <f t="shared" si="43"/>
        <v>-0.01799465849</v>
      </c>
      <c r="F22" s="58">
        <f t="shared" ref="F22:G22" si="44">B22*D22</f>
        <v>0.001859410581</v>
      </c>
      <c r="G22" s="58">
        <f t="shared" si="44"/>
        <v>0.0002980672599</v>
      </c>
    </row>
    <row r="23">
      <c r="A23" s="32">
        <v>45901.0</v>
      </c>
      <c r="B23" s="34">
        <v>0.029465320311206744</v>
      </c>
      <c r="C23" s="34">
        <v>-0.003912229971083425</v>
      </c>
      <c r="D23" s="57">
        <f t="shared" ref="D23:E23" si="45">B23-AVERAGE(B$2:B$52)</f>
        <v>0.03226012631</v>
      </c>
      <c r="E23" s="57">
        <f t="shared" si="45"/>
        <v>-0.005342680816</v>
      </c>
      <c r="F23" s="58">
        <f t="shared" ref="F23:G23" si="46">B23*D23</f>
        <v>0.000950554955</v>
      </c>
      <c r="G23" s="58">
        <f t="shared" si="46"/>
        <v>0.00002090179601</v>
      </c>
    </row>
    <row r="24">
      <c r="A24" s="32">
        <v>45894.0</v>
      </c>
      <c r="B24" s="34">
        <v>0.002988543914992592</v>
      </c>
      <c r="C24" s="34">
        <v>-0.004065729290191444</v>
      </c>
      <c r="D24" s="57">
        <f t="shared" ref="D24:E24" si="47">B24-AVERAGE(B$2:B$52)</f>
        <v>0.005783349912</v>
      </c>
      <c r="E24" s="57">
        <f t="shared" si="47"/>
        <v>-0.005496180135</v>
      </c>
      <c r="F24" s="58">
        <f t="shared" ref="F24:G24" si="48">B24*D24</f>
        <v>0.00001728379519</v>
      </c>
      <c r="G24" s="58">
        <f t="shared" si="48"/>
        <v>0.00002234598056</v>
      </c>
    </row>
    <row r="25">
      <c r="A25" s="32">
        <v>45887.0</v>
      </c>
      <c r="B25" s="34">
        <v>-0.027685850351118035</v>
      </c>
      <c r="C25" s="34">
        <v>0.030102085332867956</v>
      </c>
      <c r="D25" s="57">
        <f t="shared" ref="D25:E25" si="49">B25-AVERAGE(B$2:B$52)</f>
        <v>-0.02489104435</v>
      </c>
      <c r="E25" s="57">
        <f t="shared" si="49"/>
        <v>0.02867163449</v>
      </c>
      <c r="F25" s="58">
        <f t="shared" ref="F25:G25" si="50">B25*D25</f>
        <v>0.0006891297291</v>
      </c>
      <c r="G25" s="58">
        <f t="shared" si="50"/>
        <v>0.000863075988</v>
      </c>
    </row>
    <row r="26">
      <c r="A26" s="32">
        <v>45880.0</v>
      </c>
      <c r="B26" s="34">
        <v>0.022532188841201783</v>
      </c>
      <c r="C26" s="34">
        <v>0.02632757231127436</v>
      </c>
      <c r="D26" s="57">
        <f t="shared" ref="D26:E26" si="51">B26-AVERAGE(B$2:B$52)</f>
        <v>0.02532699484</v>
      </c>
      <c r="E26" s="57">
        <f t="shared" si="51"/>
        <v>0.02489712147</v>
      </c>
      <c r="F26" s="58">
        <f t="shared" ref="F26:G26" si="52">B26*D26</f>
        <v>0.0005706726305</v>
      </c>
      <c r="G26" s="58">
        <f t="shared" si="52"/>
        <v>0.0006554807658</v>
      </c>
    </row>
    <row r="27">
      <c r="A27" s="32">
        <v>45873.0</v>
      </c>
      <c r="B27" s="34">
        <v>0.045744864491627846</v>
      </c>
      <c r="C27" s="34">
        <v>-0.03574820827216996</v>
      </c>
      <c r="D27" s="57">
        <f t="shared" ref="D27:E27" si="53">B27-AVERAGE(B$2:B$52)</f>
        <v>0.04853967049</v>
      </c>
      <c r="E27" s="57">
        <f t="shared" si="53"/>
        <v>-0.03717865912</v>
      </c>
      <c r="F27" s="58">
        <f t="shared" ref="F27:G27" si="54">B27*D27</f>
        <v>0.002220440649</v>
      </c>
      <c r="G27" s="58">
        <f t="shared" si="54"/>
        <v>0.001329070449</v>
      </c>
    </row>
    <row r="28">
      <c r="A28" s="32">
        <v>45866.0</v>
      </c>
      <c r="B28" s="34">
        <v>-0.0185514612452351</v>
      </c>
      <c r="C28" s="34">
        <v>-0.04011603812681308</v>
      </c>
      <c r="D28" s="57">
        <f t="shared" ref="D28:E28" si="55">B28-AVERAGE(B$2:B$52)</f>
        <v>-0.01575665525</v>
      </c>
      <c r="E28" s="57">
        <f t="shared" si="55"/>
        <v>-0.04154648897</v>
      </c>
      <c r="F28" s="58">
        <f t="shared" ref="F28:G28" si="56">B28*D28</f>
        <v>0.0002923089792</v>
      </c>
      <c r="G28" s="58">
        <f t="shared" si="56"/>
        <v>0.001666680536</v>
      </c>
    </row>
    <row r="29">
      <c r="A29" s="32">
        <v>45859.0</v>
      </c>
      <c r="B29" s="34">
        <v>-0.023734700628514793</v>
      </c>
      <c r="C29" s="34">
        <v>4.145936981758691E-4</v>
      </c>
      <c r="D29" s="57">
        <f t="shared" ref="D29:E29" si="57">B29-AVERAGE(B$2:B$52)</f>
        <v>-0.02093989463</v>
      </c>
      <c r="E29" s="57">
        <f t="shared" si="57"/>
        <v>-0.001015857146</v>
      </c>
      <c r="F29" s="58">
        <f t="shared" ref="F29:G29" si="58">B29*D29</f>
        <v>0.0004970021303</v>
      </c>
      <c r="G29" s="58">
        <f t="shared" si="58"/>
        <v>-0.0000004211679712</v>
      </c>
    </row>
    <row r="30">
      <c r="A30" s="32">
        <v>45852.0</v>
      </c>
      <c r="B30" s="34">
        <v>-0.028833025459802486</v>
      </c>
      <c r="C30" s="34">
        <v>0.012934654795901057</v>
      </c>
      <c r="D30" s="57">
        <f t="shared" ref="D30:E30" si="59">B30-AVERAGE(B$2:B$52)</f>
        <v>-0.02603821946</v>
      </c>
      <c r="E30" s="57">
        <f t="shared" si="59"/>
        <v>0.01150420395</v>
      </c>
      <c r="F30" s="58">
        <f t="shared" ref="F30:G30" si="60">B30*D30</f>
        <v>0.0007507606447</v>
      </c>
      <c r="G30" s="58">
        <f t="shared" si="60"/>
        <v>0.0001488029068</v>
      </c>
    </row>
    <row r="31">
      <c r="A31" s="32">
        <v>45845.0</v>
      </c>
      <c r="B31" s="34">
        <v>-0.04016342892383595</v>
      </c>
      <c r="C31" s="34">
        <v>-0.03336851506048555</v>
      </c>
      <c r="D31" s="57">
        <f t="shared" ref="D31:E31" si="61">B31-AVERAGE(B$2:B$52)</f>
        <v>-0.03736862293</v>
      </c>
      <c r="E31" s="57">
        <f t="shared" si="61"/>
        <v>-0.03479896591</v>
      </c>
      <c r="F31" s="58">
        <f t="shared" ref="F31:G31" si="62">B31*D31</f>
        <v>0.001500852031</v>
      </c>
      <c r="G31" s="58">
        <f t="shared" si="62"/>
        <v>0.001161189818</v>
      </c>
    </row>
    <row r="32">
      <c r="A32" s="32">
        <v>45838.0</v>
      </c>
      <c r="B32" s="34">
        <v>-0.019575239966744817</v>
      </c>
      <c r="C32" s="34">
        <v>0.01793388429752074</v>
      </c>
      <c r="D32" s="57">
        <f t="shared" ref="D32:E32" si="63">B32-AVERAGE(B$2:B$52)</f>
        <v>-0.01678043397</v>
      </c>
      <c r="E32" s="57">
        <f t="shared" si="63"/>
        <v>0.01650343345</v>
      </c>
      <c r="F32" s="58">
        <f t="shared" ref="F32:G32" si="64">B32*D32</f>
        <v>0.0003284810217</v>
      </c>
      <c r="G32" s="58">
        <f t="shared" si="64"/>
        <v>0.0002959706661</v>
      </c>
    </row>
    <row r="33">
      <c r="A33" s="32">
        <v>45831.0</v>
      </c>
      <c r="B33" s="34">
        <v>0.07446808510638303</v>
      </c>
      <c r="C33" s="34">
        <v>0.04005501117414467</v>
      </c>
      <c r="D33" s="57">
        <f t="shared" ref="D33:E33" si="65">B33-AVERAGE(B$2:B$52)</f>
        <v>0.0772628911</v>
      </c>
      <c r="E33" s="57">
        <f t="shared" si="65"/>
        <v>0.03862456033</v>
      </c>
      <c r="F33" s="58">
        <f t="shared" ref="F33:G33" si="66">B33*D33</f>
        <v>0.00575361955</v>
      </c>
      <c r="G33" s="58">
        <f t="shared" si="66"/>
        <v>0.001547107196</v>
      </c>
    </row>
    <row r="34">
      <c r="A34" s="32">
        <v>45824.0</v>
      </c>
      <c r="B34" s="34">
        <v>0.015922778648626457</v>
      </c>
      <c r="C34" s="34">
        <v>-0.0026575225032147154</v>
      </c>
      <c r="D34" s="57">
        <f t="shared" ref="D34:E34" si="67">B34-AVERAGE(B$2:B$52)</f>
        <v>0.01871758465</v>
      </c>
      <c r="E34" s="57">
        <f t="shared" si="67"/>
        <v>-0.004087973348</v>
      </c>
      <c r="F34" s="58">
        <f t="shared" ref="F34:G34" si="68">B34*D34</f>
        <v>0.0002980359572</v>
      </c>
      <c r="G34" s="58">
        <f t="shared" si="68"/>
        <v>0.00001086388116</v>
      </c>
    </row>
    <row r="35">
      <c r="A35" s="32">
        <v>45817.0</v>
      </c>
      <c r="B35" s="34">
        <v>-0.023681031010874043</v>
      </c>
      <c r="C35" s="34">
        <v>0.03550821127385717</v>
      </c>
      <c r="D35" s="57">
        <f t="shared" ref="D35:E35" si="69">B35-AVERAGE(B$2:B$52)</f>
        <v>-0.02088622501</v>
      </c>
      <c r="E35" s="57">
        <f t="shared" si="69"/>
        <v>0.03407776043</v>
      </c>
      <c r="F35" s="58">
        <f t="shared" ref="F35:G35" si="70">B35*D35</f>
        <v>0.0004946073422</v>
      </c>
      <c r="G35" s="58">
        <f t="shared" si="70"/>
        <v>0.001210040317</v>
      </c>
    </row>
    <row r="36">
      <c r="A36" s="32">
        <v>45810.0</v>
      </c>
      <c r="B36" s="34">
        <v>0.028412856196156522</v>
      </c>
      <c r="C36" s="34">
        <v>0.007602862254025178</v>
      </c>
      <c r="D36" s="57">
        <f t="shared" ref="D36:E36" si="71">B36-AVERAGE(B$2:B$52)</f>
        <v>0.03120766219</v>
      </c>
      <c r="E36" s="57">
        <f t="shared" si="71"/>
        <v>0.006172411409</v>
      </c>
      <c r="F36" s="58">
        <f t="shared" ref="F36:G36" si="72">B36*D36</f>
        <v>0.0008866988181</v>
      </c>
      <c r="G36" s="58">
        <f t="shared" si="72"/>
        <v>0.00004692799372</v>
      </c>
    </row>
    <row r="37">
      <c r="A37" s="42">
        <v>45803.0</v>
      </c>
      <c r="B37" s="34">
        <v>0.018390416736966397</v>
      </c>
      <c r="C37" s="34">
        <v>0.030224843346848607</v>
      </c>
      <c r="D37" s="57">
        <f t="shared" ref="D37:E37" si="73">B37-AVERAGE(B$2:B$52)</f>
        <v>0.02118522273</v>
      </c>
      <c r="E37" s="57">
        <f t="shared" si="73"/>
        <v>0.0287943925</v>
      </c>
      <c r="F37" s="58">
        <f t="shared" ref="F37:G37" si="74">B37*D37</f>
        <v>0.0003896050747</v>
      </c>
      <c r="G37" s="58">
        <f t="shared" si="74"/>
        <v>0.0008703060026</v>
      </c>
    </row>
    <row r="38">
      <c r="A38" s="42">
        <v>45796.0</v>
      </c>
      <c r="B38" s="34">
        <v>-0.005119597146454047</v>
      </c>
      <c r="C38" s="34">
        <v>-0.03262613656623292</v>
      </c>
      <c r="D38" s="57">
        <f t="shared" ref="D38:E38" si="75">B38-AVERAGE(B$2:B$52)</f>
        <v>-0.002324791149</v>
      </c>
      <c r="E38" s="57">
        <f t="shared" si="75"/>
        <v>-0.03405658741</v>
      </c>
      <c r="F38" s="58">
        <f t="shared" ref="F38:G38" si="76">B38*D38</f>
        <v>0.00001190199413</v>
      </c>
      <c r="G38" s="58">
        <f t="shared" si="76"/>
        <v>0.001111134872</v>
      </c>
    </row>
    <row r="39">
      <c r="A39" s="42">
        <v>45789.0</v>
      </c>
      <c r="B39" s="34">
        <v>0.04499210664795661</v>
      </c>
      <c r="C39" s="34">
        <v>0.07062416491696899</v>
      </c>
      <c r="D39" s="57">
        <f t="shared" ref="D39:E39" si="77">B39-AVERAGE(B$2:B$52)</f>
        <v>0.04778691265</v>
      </c>
      <c r="E39" s="57">
        <f t="shared" si="77"/>
        <v>0.06919371407</v>
      </c>
      <c r="F39" s="58">
        <f t="shared" ref="F39:G39" si="78">B39*D39</f>
        <v>0.00215003387</v>
      </c>
      <c r="G39" s="58">
        <f t="shared" si="78"/>
        <v>0.004886748274</v>
      </c>
    </row>
    <row r="40">
      <c r="A40" s="42">
        <v>45782.0</v>
      </c>
      <c r="B40" s="34">
        <v>-0.014094249891915323</v>
      </c>
      <c r="C40" s="27">
        <v>0.14538696982947097</v>
      </c>
      <c r="D40" s="57">
        <f t="shared" ref="D40:E40" si="79">B40-AVERAGE(B$2:B$52)</f>
        <v>-0.01129944389</v>
      </c>
      <c r="E40" s="57">
        <f t="shared" si="79"/>
        <v>0.143956519</v>
      </c>
      <c r="F40" s="58">
        <f t="shared" ref="F40:G40" si="80">B40*D40</f>
        <v>0.0001592571859</v>
      </c>
      <c r="G40" s="58">
        <f t="shared" si="80"/>
        <v>0.02092940208</v>
      </c>
    </row>
    <row r="41">
      <c r="A41" s="32">
        <v>45775.0</v>
      </c>
      <c r="B41" s="34">
        <v>0.049931911030413056</v>
      </c>
      <c r="C41" s="34">
        <v>0.02452682271250972</v>
      </c>
      <c r="D41" s="57">
        <f t="shared" ref="D41:E41" si="81">B41-AVERAGE(B$2:B$52)</f>
        <v>0.05272671703</v>
      </c>
      <c r="E41" s="57">
        <f t="shared" si="81"/>
        <v>0.02309637187</v>
      </c>
      <c r="F41" s="58">
        <f t="shared" ref="F41:G41" si="82">B41*D41</f>
        <v>0.002632745744</v>
      </c>
      <c r="G41" s="58">
        <f t="shared" si="82"/>
        <v>0.0005664806181</v>
      </c>
    </row>
    <row r="42">
      <c r="A42" s="32">
        <v>45768.0</v>
      </c>
      <c r="B42" s="34">
        <v>0.13206577595066804</v>
      </c>
      <c r="C42" s="34">
        <v>0.06449690033381028</v>
      </c>
      <c r="D42" s="57">
        <f t="shared" ref="D42:E42" si="83">B42-AVERAGE(B$2:B$52)</f>
        <v>0.1348605819</v>
      </c>
      <c r="E42" s="57">
        <f t="shared" si="83"/>
        <v>0.06306644949</v>
      </c>
      <c r="F42" s="58">
        <f t="shared" ref="F42:G42" si="84">B42*D42</f>
        <v>0.0178104674</v>
      </c>
      <c r="G42" s="58">
        <f t="shared" si="84"/>
        <v>0.004067590507</v>
      </c>
    </row>
    <row r="43">
      <c r="A43" s="32">
        <v>45761.0</v>
      </c>
      <c r="B43" s="34">
        <v>0.05956659043885448</v>
      </c>
      <c r="C43" s="34">
        <v>-9.52834683182413E-4</v>
      </c>
      <c r="D43" s="57">
        <f t="shared" ref="D43:E43" si="85">B43-AVERAGE(B$2:B$52)</f>
        <v>0.06236139644</v>
      </c>
      <c r="E43" s="57">
        <f t="shared" si="85"/>
        <v>-0.002383285528</v>
      </c>
      <c r="F43" s="58">
        <f t="shared" ref="F43:G43" si="86">B43*D43</f>
        <v>0.003714655761</v>
      </c>
      <c r="G43" s="58">
        <f t="shared" si="86"/>
        <v>0.000002270877111</v>
      </c>
    </row>
    <row r="44">
      <c r="A44" s="32">
        <v>45754.0</v>
      </c>
      <c r="B44" s="34">
        <v>0.0729057132842621</v>
      </c>
      <c r="C44" s="34">
        <v>0.016218833212297223</v>
      </c>
      <c r="D44" s="57">
        <f t="shared" ref="D44:E44" si="87">B44-AVERAGE(B$2:B$52)</f>
        <v>0.07570051928</v>
      </c>
      <c r="E44" s="57">
        <f t="shared" si="87"/>
        <v>0.01478838237</v>
      </c>
      <c r="F44" s="58">
        <f t="shared" ref="F44:G44" si="88">B44*D44</f>
        <v>0.005519000354</v>
      </c>
      <c r="G44" s="58">
        <f t="shared" si="88"/>
        <v>0.0002398503071</v>
      </c>
    </row>
    <row r="45">
      <c r="A45" s="32">
        <v>45747.0</v>
      </c>
      <c r="B45" s="34">
        <v>-0.08352071956312235</v>
      </c>
      <c r="C45" s="27">
        <v>-0.14824742268041236</v>
      </c>
      <c r="D45" s="57">
        <f t="shared" ref="D45:E45" si="89">B45-AVERAGE(B$2:B$52)</f>
        <v>-0.08072591357</v>
      </c>
      <c r="E45" s="57">
        <f t="shared" si="89"/>
        <v>-0.1496778735</v>
      </c>
      <c r="F45" s="58">
        <f t="shared" ref="F45:G45" si="90">B45*D45</f>
        <v>0.006742286388</v>
      </c>
      <c r="G45" s="58">
        <f t="shared" si="90"/>
        <v>0.02218935898</v>
      </c>
    </row>
    <row r="46">
      <c r="A46" s="32">
        <v>45740.0</v>
      </c>
      <c r="B46" s="34">
        <v>-0.027491408934707917</v>
      </c>
      <c r="C46" s="34">
        <v>-0.013927010267357987</v>
      </c>
      <c r="D46" s="57">
        <f t="shared" ref="D46:E46" si="91">B46-AVERAGE(B$2:B$52)</f>
        <v>-0.02469660294</v>
      </c>
      <c r="E46" s="57">
        <f t="shared" si="91"/>
        <v>-0.01535746111</v>
      </c>
      <c r="F46" s="58">
        <f t="shared" ref="F46:G46" si="92">B46*D46</f>
        <v>0.0006789444107</v>
      </c>
      <c r="G46" s="58">
        <f t="shared" si="92"/>
        <v>0.0002138835186</v>
      </c>
    </row>
    <row r="47">
      <c r="A47" s="32">
        <v>45733.0</v>
      </c>
      <c r="B47" s="34">
        <v>0.04607843137254908</v>
      </c>
      <c r="C47" s="34">
        <v>0.008302583025830312</v>
      </c>
      <c r="D47" s="57">
        <f t="shared" ref="D47:E47" si="93">B47-AVERAGE(B$2:B$52)</f>
        <v>0.04887323737</v>
      </c>
      <c r="E47" s="57">
        <f t="shared" si="93"/>
        <v>0.006872132181</v>
      </c>
      <c r="F47" s="58">
        <f t="shared" ref="F47:G47" si="94">B47*D47</f>
        <v>0.002252002114</v>
      </c>
      <c r="G47" s="58">
        <f t="shared" si="94"/>
        <v>0.000057056448</v>
      </c>
    </row>
    <row r="48">
      <c r="A48" s="32">
        <v>45726.0</v>
      </c>
      <c r="B48" s="34">
        <v>0.030187408820558925</v>
      </c>
      <c r="C48" s="34">
        <v>-0.06515906477577615</v>
      </c>
      <c r="D48" s="57">
        <f t="shared" ref="D48:E48" si="95">B48-AVERAGE(B$2:B$52)</f>
        <v>0.03298221482</v>
      </c>
      <c r="E48" s="57">
        <f t="shared" si="95"/>
        <v>-0.06658951562</v>
      </c>
      <c r="F48" s="58">
        <f t="shared" ref="F48:G48" si="96">B48*D48</f>
        <v>0.0009956476025</v>
      </c>
      <c r="G48" s="58">
        <f t="shared" si="96"/>
        <v>0.004338910562</v>
      </c>
    </row>
    <row r="49">
      <c r="A49" s="32">
        <v>45719.0</v>
      </c>
      <c r="B49" s="34">
        <v>-0.09127065062206818</v>
      </c>
      <c r="C49" s="34">
        <v>-0.07285003553660274</v>
      </c>
      <c r="D49" s="57">
        <f t="shared" ref="D49:E49" si="97">B49-AVERAGE(B$2:B$52)</f>
        <v>-0.08847584462</v>
      </c>
      <c r="E49" s="57">
        <f t="shared" si="97"/>
        <v>-0.07428048638</v>
      </c>
      <c r="F49" s="58">
        <f t="shared" ref="F49:G49" si="98">B49*D49</f>
        <v>0.008075247903</v>
      </c>
      <c r="G49" s="58">
        <f t="shared" si="98"/>
        <v>0.005411336073</v>
      </c>
    </row>
    <row r="50">
      <c r="A50" s="32">
        <v>45712.0</v>
      </c>
      <c r="B50" s="34">
        <v>-0.022527910685805286</v>
      </c>
      <c r="C50" s="34">
        <v>0.04736205452684472</v>
      </c>
      <c r="D50" s="57">
        <f t="shared" ref="D50:E50" si="99">B50-AVERAGE(B$2:B$52)</f>
        <v>-0.01973310469</v>
      </c>
      <c r="E50" s="57">
        <f t="shared" si="99"/>
        <v>0.04593160368</v>
      </c>
      <c r="F50" s="58">
        <f t="shared" ref="F50:G50" si="100">B50*D50</f>
        <v>0.00044454562</v>
      </c>
      <c r="G50" s="58">
        <f t="shared" si="100"/>
        <v>0.002175415118</v>
      </c>
    </row>
    <row r="51">
      <c r="A51" s="32">
        <v>45705.0</v>
      </c>
      <c r="B51" s="34">
        <v>-0.05233327035707547</v>
      </c>
      <c r="C51" s="34">
        <v>-0.015572043601722152</v>
      </c>
      <c r="D51" s="57">
        <f t="shared" ref="D51:E51" si="101">B51-AVERAGE(B$2:B$52)</f>
        <v>-0.04953846436</v>
      </c>
      <c r="E51" s="57">
        <f t="shared" si="101"/>
        <v>-0.01700249445</v>
      </c>
      <c r="F51" s="58">
        <f t="shared" ref="F51:G51" si="102">B51*D51</f>
        <v>0.002592509848</v>
      </c>
      <c r="G51" s="58">
        <f t="shared" si="102"/>
        <v>0.0002647635849</v>
      </c>
    </row>
    <row r="52">
      <c r="A52" s="32">
        <v>45698.0</v>
      </c>
      <c r="B52" s="34">
        <v>0.04408718808560996</v>
      </c>
      <c r="C52" s="34">
        <v>-0.004377564979480164</v>
      </c>
      <c r="D52" s="57">
        <f t="shared" ref="D52:E52" si="103">B52-AVERAGE(B$2:B$52)</f>
        <v>0.04688199408</v>
      </c>
      <c r="E52" s="57">
        <f t="shared" si="103"/>
        <v>-0.005808015824</v>
      </c>
      <c r="F52" s="58">
        <f t="shared" ref="F52:G52" si="104">B52*D52</f>
        <v>0.002066895291</v>
      </c>
      <c r="G52" s="58">
        <f t="shared" si="104"/>
        <v>0.00002542496667</v>
      </c>
    </row>
    <row r="53">
      <c r="A53" s="32"/>
      <c r="B53" s="28"/>
      <c r="C53" s="23"/>
    </row>
    <row r="54">
      <c r="A54" s="32"/>
      <c r="B54" s="23"/>
      <c r="C54" s="23"/>
    </row>
    <row r="55">
      <c r="A55" s="30"/>
      <c r="B55" s="23"/>
      <c r="C55" s="23"/>
    </row>
    <row r="56">
      <c r="A56" s="30"/>
      <c r="B56" s="23"/>
      <c r="C56" s="23"/>
    </row>
    <row r="57">
      <c r="A57" s="30"/>
      <c r="B57" s="23"/>
      <c r="C57" s="23"/>
    </row>
    <row r="58">
      <c r="A58" s="30"/>
      <c r="B58" s="23"/>
      <c r="C58" s="23"/>
    </row>
    <row r="59">
      <c r="A59" s="30"/>
      <c r="B59" s="23"/>
      <c r="C59" s="23"/>
    </row>
    <row r="60">
      <c r="A60" s="30"/>
      <c r="B60" s="23"/>
      <c r="C60" s="23"/>
    </row>
    <row r="61">
      <c r="A61" s="30"/>
      <c r="B61" s="23"/>
      <c r="C61" s="23"/>
    </row>
    <row r="62">
      <c r="A62" s="30"/>
      <c r="B62" s="23"/>
      <c r="C62" s="23"/>
    </row>
    <row r="63">
      <c r="A63" s="30"/>
      <c r="B63" s="23"/>
      <c r="C63" s="23"/>
    </row>
    <row r="64">
      <c r="A64" s="30"/>
      <c r="B64" s="23"/>
      <c r="C64" s="23"/>
    </row>
    <row r="65">
      <c r="A65" s="30"/>
      <c r="B65" s="23"/>
      <c r="C65" s="23"/>
    </row>
    <row r="66">
      <c r="A66" s="30"/>
      <c r="B66" s="23"/>
      <c r="C66" s="23"/>
    </row>
    <row r="67">
      <c r="A67" s="30"/>
      <c r="B67" s="23"/>
      <c r="C67" s="23"/>
    </row>
    <row r="68">
      <c r="A68" s="30"/>
      <c r="B68" s="23"/>
      <c r="C68" s="23"/>
    </row>
    <row r="69">
      <c r="A69" s="30"/>
      <c r="B69" s="23"/>
      <c r="C69" s="23"/>
    </row>
    <row r="70">
      <c r="A70" s="30"/>
      <c r="B70" s="23"/>
      <c r="C70" s="23"/>
    </row>
    <row r="71">
      <c r="A71" s="30"/>
      <c r="B71" s="23"/>
      <c r="C71" s="23"/>
    </row>
    <row r="72">
      <c r="A72" s="30"/>
      <c r="B72" s="23"/>
      <c r="C72" s="23"/>
    </row>
    <row r="73">
      <c r="A73" s="30"/>
      <c r="B73" s="23"/>
      <c r="C73" s="23"/>
    </row>
    <row r="74">
      <c r="A74" s="30"/>
      <c r="B74" s="23"/>
      <c r="C74" s="23"/>
    </row>
    <row r="75">
      <c r="A75" s="30"/>
      <c r="B75" s="23"/>
      <c r="C75" s="23"/>
    </row>
    <row r="76">
      <c r="A76" s="30"/>
      <c r="B76" s="23"/>
      <c r="C76" s="23"/>
    </row>
    <row r="77">
      <c r="A77" s="30"/>
      <c r="B77" s="23"/>
      <c r="C77" s="23"/>
    </row>
    <row r="78">
      <c r="A78" s="30"/>
      <c r="B78" s="23"/>
      <c r="C78" s="23"/>
    </row>
    <row r="79">
      <c r="A79" s="30"/>
      <c r="B79" s="23"/>
      <c r="C79" s="23"/>
    </row>
    <row r="80">
      <c r="A80" s="30"/>
      <c r="B80" s="23"/>
      <c r="C80" s="23"/>
    </row>
    <row r="81">
      <c r="A81" s="30"/>
      <c r="B81" s="23"/>
      <c r="C81" s="23"/>
    </row>
    <row r="82">
      <c r="A82" s="30"/>
      <c r="B82" s="23"/>
      <c r="C82" s="23"/>
    </row>
    <row r="83">
      <c r="A83" s="30"/>
      <c r="B83" s="23"/>
      <c r="C83" s="23"/>
    </row>
    <row r="84">
      <c r="A84" s="30"/>
      <c r="B84" s="23"/>
      <c r="C84" s="23"/>
    </row>
    <row r="85">
      <c r="A85" s="30"/>
      <c r="B85" s="23"/>
      <c r="C85" s="23"/>
    </row>
    <row r="86">
      <c r="A86" s="30"/>
      <c r="B86" s="23"/>
      <c r="C86" s="23"/>
    </row>
    <row r="87">
      <c r="A87" s="30"/>
      <c r="B87" s="23"/>
      <c r="C87" s="23"/>
    </row>
    <row r="88">
      <c r="A88" s="30"/>
      <c r="B88" s="23"/>
      <c r="C88" s="23"/>
    </row>
    <row r="89">
      <c r="A89" s="30"/>
      <c r="B89" s="23"/>
      <c r="C89" s="23"/>
    </row>
    <row r="90">
      <c r="A90" s="30"/>
      <c r="B90" s="23"/>
      <c r="C90" s="23"/>
    </row>
    <row r="91">
      <c r="A91" s="30"/>
      <c r="B91" s="23"/>
      <c r="C91" s="23"/>
    </row>
    <row r="92">
      <c r="A92" s="30"/>
      <c r="B92" s="23"/>
      <c r="C92" s="23"/>
    </row>
    <row r="93">
      <c r="A93" s="30"/>
      <c r="B93" s="23"/>
      <c r="C93" s="23"/>
    </row>
    <row r="94">
      <c r="A94" s="30"/>
      <c r="B94" s="23"/>
      <c r="C94" s="23"/>
    </row>
    <row r="95">
      <c r="A95" s="30"/>
      <c r="B95" s="23"/>
      <c r="C95" s="23"/>
    </row>
    <row r="96">
      <c r="A96" s="30"/>
      <c r="B96" s="23"/>
      <c r="C96" s="23"/>
    </row>
    <row r="97">
      <c r="A97" s="30"/>
      <c r="B97" s="23"/>
      <c r="C97" s="23"/>
    </row>
    <row r="98">
      <c r="A98" s="30"/>
      <c r="B98" s="23"/>
      <c r="C98" s="23"/>
    </row>
    <row r="99">
      <c r="A99" s="30"/>
      <c r="B99" s="23"/>
      <c r="C99" s="23"/>
    </row>
    <row r="100">
      <c r="A100" s="30"/>
      <c r="B100" s="23"/>
      <c r="C100" s="23"/>
    </row>
    <row r="101">
      <c r="A101" s="30"/>
      <c r="B101" s="23"/>
      <c r="C101" s="23"/>
    </row>
    <row r="102">
      <c r="A102" s="30"/>
      <c r="B102" s="23"/>
      <c r="C102" s="23"/>
    </row>
    <row r="103">
      <c r="A103" s="30"/>
      <c r="B103" s="23"/>
      <c r="C103" s="23"/>
    </row>
    <row r="104">
      <c r="A104" s="30"/>
      <c r="B104" s="23"/>
      <c r="C104" s="23"/>
    </row>
    <row r="105">
      <c r="A105" s="30"/>
      <c r="B105" s="23"/>
      <c r="C105" s="23"/>
    </row>
    <row r="106">
      <c r="A106" s="30"/>
      <c r="B106" s="23"/>
      <c r="C106" s="23"/>
    </row>
    <row r="107">
      <c r="A107" s="30"/>
      <c r="B107" s="23"/>
      <c r="C107" s="23"/>
    </row>
    <row r="108">
      <c r="A108" s="30"/>
      <c r="B108" s="23"/>
      <c r="C108" s="23"/>
    </row>
    <row r="109">
      <c r="A109" s="30"/>
      <c r="B109" s="23"/>
      <c r="C109" s="23"/>
    </row>
    <row r="110">
      <c r="A110" s="30"/>
      <c r="B110" s="23"/>
      <c r="C110" s="23"/>
    </row>
    <row r="111">
      <c r="A111" s="30"/>
      <c r="B111" s="23"/>
      <c r="C111" s="23"/>
    </row>
    <row r="112">
      <c r="A112" s="30"/>
      <c r="B112" s="23"/>
      <c r="C112" s="23"/>
    </row>
    <row r="113">
      <c r="A113" s="30"/>
      <c r="B113" s="23"/>
      <c r="C113" s="23"/>
    </row>
    <row r="114">
      <c r="A114" s="30"/>
      <c r="B114" s="23"/>
      <c r="C114" s="23"/>
    </row>
    <row r="115">
      <c r="A115" s="30"/>
      <c r="B115" s="23"/>
      <c r="C115" s="23"/>
    </row>
    <row r="116">
      <c r="A116" s="30"/>
      <c r="B116" s="23"/>
      <c r="C116" s="23"/>
    </row>
    <row r="117">
      <c r="A117" s="30"/>
      <c r="B117" s="23"/>
      <c r="C117" s="23"/>
    </row>
    <row r="118">
      <c r="A118" s="30"/>
      <c r="B118" s="23"/>
      <c r="C118" s="23"/>
    </row>
    <row r="119">
      <c r="A119" s="30"/>
      <c r="B119" s="23"/>
      <c r="C119" s="23"/>
    </row>
    <row r="120">
      <c r="A120" s="30"/>
      <c r="B120" s="23"/>
      <c r="C120" s="23"/>
    </row>
    <row r="121">
      <c r="A121" s="30"/>
      <c r="B121" s="23"/>
      <c r="C121" s="23"/>
    </row>
    <row r="122">
      <c r="A122" s="30"/>
      <c r="B122" s="23"/>
      <c r="C122" s="23"/>
    </row>
    <row r="123">
      <c r="A123" s="30"/>
      <c r="B123" s="23"/>
      <c r="C123" s="23"/>
    </row>
    <row r="124">
      <c r="A124" s="30"/>
      <c r="B124" s="23"/>
      <c r="C124" s="23"/>
    </row>
    <row r="125">
      <c r="A125" s="30"/>
      <c r="B125" s="23"/>
      <c r="C125" s="23"/>
    </row>
    <row r="126">
      <c r="A126" s="30"/>
      <c r="B126" s="23"/>
      <c r="C126" s="23"/>
    </row>
    <row r="127">
      <c r="A127" s="30"/>
      <c r="B127" s="23"/>
      <c r="C127" s="23"/>
    </row>
    <row r="128">
      <c r="A128" s="30"/>
      <c r="B128" s="23"/>
      <c r="C128" s="23"/>
    </row>
    <row r="129">
      <c r="A129" s="30"/>
      <c r="B129" s="23"/>
      <c r="C129" s="23"/>
    </row>
    <row r="130">
      <c r="A130" s="30"/>
      <c r="B130" s="23"/>
      <c r="C130" s="23"/>
    </row>
    <row r="131">
      <c r="A131" s="30"/>
      <c r="B131" s="23"/>
      <c r="C131" s="23"/>
    </row>
    <row r="132">
      <c r="A132" s="30"/>
      <c r="B132" s="23"/>
      <c r="C132" s="23"/>
    </row>
    <row r="133">
      <c r="A133" s="30"/>
      <c r="B133" s="23"/>
      <c r="C133" s="23"/>
    </row>
    <row r="134">
      <c r="A134" s="30"/>
      <c r="B134" s="23"/>
      <c r="C134" s="23"/>
    </row>
    <row r="135">
      <c r="A135" s="30"/>
      <c r="B135" s="23"/>
      <c r="C135" s="23"/>
    </row>
    <row r="136">
      <c r="A136" s="30"/>
      <c r="B136" s="23"/>
      <c r="C136" s="23"/>
    </row>
    <row r="137">
      <c r="A137" s="30"/>
      <c r="B137" s="23"/>
      <c r="C137" s="23"/>
    </row>
    <row r="138">
      <c r="A138" s="30"/>
      <c r="B138" s="23"/>
      <c r="C138" s="23"/>
    </row>
    <row r="139">
      <c r="A139" s="30"/>
      <c r="B139" s="23"/>
      <c r="C139" s="23"/>
    </row>
    <row r="140">
      <c r="A140" s="30"/>
      <c r="B140" s="23"/>
      <c r="C140" s="23"/>
    </row>
    <row r="141">
      <c r="A141" s="30"/>
      <c r="B141" s="23"/>
      <c r="C141" s="23"/>
    </row>
    <row r="142">
      <c r="A142" s="30"/>
      <c r="B142" s="23"/>
      <c r="C142" s="23"/>
    </row>
    <row r="143">
      <c r="A143" s="30"/>
      <c r="B143" s="23"/>
      <c r="C143" s="23"/>
    </row>
    <row r="144">
      <c r="A144" s="30"/>
      <c r="B144" s="23"/>
      <c r="C144" s="23"/>
    </row>
    <row r="145">
      <c r="A145" s="30"/>
      <c r="B145" s="23"/>
      <c r="C145" s="23"/>
    </row>
    <row r="146">
      <c r="A146" s="30"/>
      <c r="B146" s="23"/>
      <c r="C146" s="23"/>
    </row>
    <row r="147">
      <c r="A147" s="30"/>
      <c r="B147" s="23"/>
      <c r="C147" s="23"/>
    </row>
    <row r="148">
      <c r="A148" s="30"/>
      <c r="B148" s="23"/>
      <c r="C148" s="23"/>
    </row>
    <row r="149">
      <c r="A149" s="30"/>
      <c r="B149" s="23"/>
      <c r="C149" s="23"/>
    </row>
    <row r="150">
      <c r="A150" s="30"/>
      <c r="B150" s="23"/>
      <c r="C150" s="23"/>
    </row>
    <row r="151">
      <c r="A151" s="30"/>
      <c r="B151" s="23"/>
      <c r="C151" s="23"/>
    </row>
    <row r="152">
      <c r="A152" s="30"/>
      <c r="B152" s="23"/>
      <c r="C152" s="23"/>
    </row>
    <row r="153">
      <c r="A153" s="30"/>
      <c r="B153" s="23"/>
      <c r="C153" s="23"/>
    </row>
    <row r="154">
      <c r="A154" s="30"/>
      <c r="B154" s="23"/>
      <c r="C154" s="23"/>
    </row>
    <row r="155">
      <c r="A155" s="30"/>
      <c r="B155" s="23"/>
      <c r="C155" s="23"/>
    </row>
    <row r="156">
      <c r="A156" s="30"/>
      <c r="B156" s="23"/>
      <c r="C156" s="23"/>
    </row>
    <row r="157">
      <c r="A157" s="30"/>
      <c r="B157" s="23"/>
      <c r="C157" s="23"/>
    </row>
    <row r="158">
      <c r="A158" s="30"/>
      <c r="B158" s="23"/>
      <c r="C158" s="23"/>
    </row>
    <row r="159">
      <c r="A159" s="30"/>
      <c r="B159" s="23"/>
      <c r="C159" s="23"/>
    </row>
    <row r="160">
      <c r="A160" s="30"/>
      <c r="B160" s="23"/>
      <c r="C160" s="23"/>
    </row>
    <row r="161">
      <c r="A161" s="30"/>
      <c r="B161" s="23"/>
      <c r="C161" s="23"/>
    </row>
    <row r="162">
      <c r="A162" s="30"/>
      <c r="B162" s="23"/>
      <c r="C162" s="23"/>
    </row>
    <row r="163">
      <c r="A163" s="30"/>
      <c r="B163" s="23"/>
      <c r="C163" s="23"/>
    </row>
    <row r="164">
      <c r="A164" s="30"/>
      <c r="B164" s="23"/>
      <c r="C164" s="23"/>
    </row>
    <row r="165">
      <c r="A165" s="30"/>
      <c r="B165" s="23"/>
      <c r="C165" s="23"/>
    </row>
    <row r="166">
      <c r="A166" s="30"/>
      <c r="B166" s="23"/>
      <c r="C166" s="23"/>
    </row>
    <row r="167">
      <c r="A167" s="30"/>
      <c r="B167" s="23"/>
      <c r="C167" s="23"/>
    </row>
    <row r="168">
      <c r="A168" s="30"/>
      <c r="B168" s="23"/>
      <c r="C168" s="23"/>
    </row>
    <row r="169">
      <c r="A169" s="30"/>
      <c r="B169" s="23"/>
      <c r="C169" s="23"/>
    </row>
    <row r="170">
      <c r="A170" s="30"/>
      <c r="B170" s="23"/>
      <c r="C170" s="23"/>
    </row>
    <row r="171">
      <c r="A171" s="30"/>
      <c r="B171" s="23"/>
      <c r="C171" s="23"/>
    </row>
    <row r="172">
      <c r="A172" s="30"/>
      <c r="B172" s="23"/>
      <c r="C172" s="23"/>
    </row>
    <row r="173">
      <c r="A173" s="30"/>
      <c r="B173" s="23"/>
      <c r="C173" s="23"/>
    </row>
    <row r="174">
      <c r="A174" s="30"/>
      <c r="B174" s="23"/>
      <c r="C174" s="23"/>
    </row>
    <row r="175">
      <c r="A175" s="30"/>
      <c r="B175" s="23"/>
      <c r="C175" s="23"/>
    </row>
    <row r="176">
      <c r="A176" s="30"/>
      <c r="B176" s="23"/>
      <c r="C176" s="23"/>
    </row>
    <row r="177">
      <c r="A177" s="30"/>
      <c r="B177" s="23"/>
      <c r="C177" s="23"/>
    </row>
    <row r="178">
      <c r="A178" s="30"/>
      <c r="B178" s="23"/>
      <c r="C178" s="23"/>
    </row>
    <row r="179">
      <c r="A179" s="30"/>
      <c r="B179" s="23"/>
      <c r="C179" s="23"/>
    </row>
    <row r="180">
      <c r="A180" s="30"/>
      <c r="B180" s="23"/>
      <c r="C180" s="23"/>
    </row>
    <row r="181">
      <c r="A181" s="30"/>
      <c r="B181" s="23"/>
      <c r="C181" s="23"/>
    </row>
    <row r="182">
      <c r="A182" s="30"/>
      <c r="B182" s="23"/>
      <c r="C182" s="23"/>
    </row>
    <row r="183">
      <c r="A183" s="30"/>
      <c r="B183" s="23"/>
      <c r="C183" s="23"/>
    </row>
    <row r="184">
      <c r="A184" s="30"/>
      <c r="B184" s="23"/>
      <c r="C184" s="23"/>
    </row>
    <row r="185">
      <c r="A185" s="30"/>
      <c r="B185" s="23"/>
      <c r="C185" s="23"/>
    </row>
    <row r="186">
      <c r="A186" s="30"/>
      <c r="B186" s="23"/>
      <c r="C186" s="23"/>
    </row>
    <row r="187">
      <c r="A187" s="30"/>
      <c r="B187" s="23"/>
      <c r="C187" s="23"/>
    </row>
    <row r="188">
      <c r="A188" s="30"/>
      <c r="B188" s="23"/>
      <c r="C188" s="23"/>
    </row>
    <row r="189">
      <c r="A189" s="30"/>
      <c r="B189" s="23"/>
      <c r="C189" s="23"/>
    </row>
    <row r="190">
      <c r="A190" s="30"/>
      <c r="B190" s="23"/>
      <c r="C190" s="23"/>
    </row>
    <row r="191">
      <c r="A191" s="30"/>
      <c r="B191" s="23"/>
      <c r="C191" s="23"/>
    </row>
    <row r="192">
      <c r="A192" s="30"/>
      <c r="B192" s="23"/>
      <c r="C192" s="23"/>
    </row>
    <row r="193">
      <c r="A193" s="30"/>
      <c r="B193" s="23"/>
      <c r="C193" s="23"/>
    </row>
    <row r="194">
      <c r="A194" s="30"/>
      <c r="B194" s="23"/>
      <c r="C194" s="23"/>
    </row>
    <row r="195">
      <c r="A195" s="30"/>
      <c r="B195" s="23"/>
      <c r="C195" s="23"/>
    </row>
    <row r="196">
      <c r="A196" s="30"/>
      <c r="B196" s="23"/>
      <c r="C196" s="23"/>
    </row>
    <row r="197">
      <c r="A197" s="30"/>
      <c r="B197" s="23"/>
      <c r="C197" s="23"/>
    </row>
    <row r="198">
      <c r="A198" s="30"/>
      <c r="B198" s="23"/>
      <c r="C198" s="23"/>
    </row>
    <row r="199">
      <c r="A199" s="30"/>
      <c r="B199" s="23"/>
      <c r="C199" s="23"/>
    </row>
    <row r="200">
      <c r="A200" s="30"/>
      <c r="B200" s="23"/>
      <c r="C200" s="23"/>
    </row>
    <row r="201">
      <c r="A201" s="30"/>
      <c r="B201" s="23"/>
      <c r="C201" s="23"/>
    </row>
    <row r="202">
      <c r="A202" s="30"/>
      <c r="B202" s="23"/>
      <c r="C202" s="23"/>
    </row>
    <row r="203">
      <c r="A203" s="30"/>
      <c r="B203" s="23"/>
      <c r="C203" s="23"/>
    </row>
    <row r="204">
      <c r="A204" s="30"/>
      <c r="B204" s="23"/>
      <c r="C204" s="23"/>
    </row>
    <row r="205">
      <c r="A205" s="30"/>
      <c r="B205" s="23"/>
      <c r="C205" s="23"/>
    </row>
    <row r="206">
      <c r="A206" s="30"/>
      <c r="B206" s="23"/>
      <c r="C206" s="23"/>
    </row>
    <row r="207">
      <c r="A207" s="30"/>
      <c r="B207" s="23"/>
      <c r="C207" s="23"/>
    </row>
    <row r="208">
      <c r="A208" s="30"/>
      <c r="B208" s="23"/>
      <c r="C208" s="23"/>
    </row>
    <row r="209">
      <c r="A209" s="30"/>
      <c r="B209" s="23"/>
      <c r="C209" s="23"/>
    </row>
    <row r="210">
      <c r="A210" s="30"/>
      <c r="B210" s="23"/>
      <c r="C210" s="23"/>
    </row>
    <row r="211">
      <c r="A211" s="30"/>
      <c r="B211" s="23"/>
      <c r="C211" s="23"/>
    </row>
    <row r="212">
      <c r="A212" s="30"/>
      <c r="B212" s="23"/>
      <c r="C212" s="23"/>
    </row>
    <row r="213">
      <c r="A213" s="30"/>
      <c r="B213" s="23"/>
      <c r="C213" s="23"/>
    </row>
    <row r="214">
      <c r="A214" s="30"/>
      <c r="B214" s="23"/>
      <c r="C214" s="23"/>
    </row>
    <row r="215">
      <c r="A215" s="30"/>
      <c r="B215" s="23"/>
      <c r="C215" s="23"/>
    </row>
    <row r="216">
      <c r="A216" s="30"/>
      <c r="B216" s="23"/>
      <c r="C216" s="23"/>
    </row>
    <row r="217">
      <c r="A217" s="30"/>
      <c r="B217" s="23"/>
      <c r="C217" s="23"/>
    </row>
    <row r="218">
      <c r="A218" s="30"/>
      <c r="B218" s="23"/>
      <c r="C218" s="23"/>
    </row>
    <row r="219">
      <c r="A219" s="30"/>
      <c r="B219" s="23"/>
      <c r="C219" s="23"/>
    </row>
    <row r="220">
      <c r="A220" s="30"/>
      <c r="B220" s="23"/>
      <c r="C220" s="23"/>
    </row>
    <row r="221">
      <c r="A221" s="30"/>
      <c r="B221" s="23"/>
      <c r="C221" s="23"/>
    </row>
    <row r="222">
      <c r="A222" s="30"/>
      <c r="B222" s="23"/>
      <c r="C222" s="23"/>
    </row>
    <row r="223">
      <c r="A223" s="30"/>
      <c r="B223" s="23"/>
      <c r="C223" s="23"/>
    </row>
    <row r="224">
      <c r="A224" s="30"/>
      <c r="B224" s="23"/>
      <c r="C224" s="23"/>
    </row>
    <row r="225">
      <c r="A225" s="30"/>
      <c r="B225" s="23"/>
      <c r="C225" s="23"/>
    </row>
    <row r="226">
      <c r="A226" s="30"/>
      <c r="B226" s="23"/>
      <c r="C226" s="23"/>
    </row>
    <row r="227">
      <c r="A227" s="30"/>
      <c r="B227" s="23"/>
      <c r="C227" s="23"/>
    </row>
    <row r="228">
      <c r="A228" s="30"/>
      <c r="B228" s="23"/>
      <c r="C228" s="23"/>
    </row>
    <row r="229">
      <c r="A229" s="30"/>
      <c r="B229" s="23"/>
      <c r="C229" s="23"/>
    </row>
    <row r="230">
      <c r="A230" s="30"/>
      <c r="B230" s="23"/>
      <c r="C230" s="23"/>
    </row>
    <row r="231">
      <c r="A231" s="30"/>
      <c r="B231" s="23"/>
      <c r="C231" s="23"/>
    </row>
    <row r="232">
      <c r="A232" s="30"/>
      <c r="B232" s="23"/>
      <c r="C232" s="23"/>
    </row>
    <row r="233">
      <c r="A233" s="30"/>
      <c r="B233" s="23"/>
      <c r="C233" s="23"/>
    </row>
    <row r="234">
      <c r="A234" s="30"/>
      <c r="B234" s="23"/>
      <c r="C234" s="23"/>
    </row>
    <row r="235">
      <c r="A235" s="30"/>
      <c r="B235" s="23"/>
      <c r="C235" s="23"/>
    </row>
    <row r="236">
      <c r="A236" s="30"/>
      <c r="B236" s="23"/>
      <c r="C236" s="23"/>
    </row>
    <row r="237">
      <c r="A237" s="30"/>
      <c r="B237" s="23"/>
      <c r="C237" s="23"/>
    </row>
    <row r="238">
      <c r="A238" s="30"/>
      <c r="B238" s="23"/>
      <c r="C238" s="23"/>
    </row>
    <row r="239">
      <c r="A239" s="30"/>
      <c r="B239" s="23"/>
      <c r="C239" s="23"/>
    </row>
    <row r="240">
      <c r="A240" s="30"/>
      <c r="B240" s="23"/>
      <c r="C240" s="23"/>
    </row>
    <row r="241">
      <c r="A241" s="30"/>
      <c r="B241" s="23"/>
      <c r="C241" s="23"/>
    </row>
    <row r="242">
      <c r="A242" s="30"/>
      <c r="B242" s="23"/>
      <c r="C242" s="23"/>
    </row>
    <row r="243">
      <c r="A243" s="30"/>
      <c r="B243" s="23"/>
      <c r="C243" s="23"/>
    </row>
    <row r="244">
      <c r="A244" s="30"/>
      <c r="B244" s="23"/>
      <c r="C244" s="23"/>
    </row>
    <row r="245">
      <c r="A245" s="30"/>
      <c r="B245" s="23"/>
      <c r="C245" s="23"/>
    </row>
    <row r="246">
      <c r="A246" s="30"/>
      <c r="B246" s="23"/>
      <c r="C246" s="23"/>
    </row>
    <row r="247">
      <c r="A247" s="30"/>
      <c r="B247" s="23"/>
      <c r="C247" s="23"/>
    </row>
    <row r="248">
      <c r="A248" s="30"/>
      <c r="B248" s="23"/>
      <c r="C248" s="23"/>
    </row>
    <row r="249">
      <c r="A249" s="30"/>
      <c r="B249" s="23"/>
      <c r="C249" s="23"/>
    </row>
    <row r="250">
      <c r="A250" s="30"/>
      <c r="B250" s="23"/>
      <c r="C250" s="23"/>
    </row>
    <row r="251">
      <c r="A251" s="30"/>
      <c r="B251" s="23"/>
      <c r="C251" s="23"/>
    </row>
    <row r="252">
      <c r="A252" s="30"/>
      <c r="B252" s="23"/>
      <c r="C252" s="23"/>
    </row>
    <row r="253">
      <c r="A253" s="30"/>
      <c r="B253" s="23"/>
      <c r="C253" s="23"/>
    </row>
    <row r="254">
      <c r="A254" s="30"/>
      <c r="B254" s="23"/>
      <c r="C254" s="23"/>
    </row>
    <row r="255">
      <c r="A255" s="30"/>
      <c r="B255" s="23"/>
      <c r="C255" s="23"/>
    </row>
    <row r="256">
      <c r="A256" s="30"/>
      <c r="B256" s="23"/>
      <c r="C256" s="23"/>
    </row>
    <row r="257">
      <c r="A257" s="30"/>
      <c r="B257" s="23"/>
      <c r="C257" s="23"/>
    </row>
    <row r="258">
      <c r="A258" s="30"/>
      <c r="B258" s="23"/>
      <c r="C258" s="23"/>
    </row>
    <row r="259">
      <c r="A259" s="30"/>
      <c r="B259" s="23"/>
      <c r="C259" s="23"/>
    </row>
    <row r="260">
      <c r="A260" s="30"/>
      <c r="B260" s="23"/>
      <c r="C260" s="23"/>
    </row>
    <row r="261">
      <c r="A261" s="30"/>
      <c r="B261" s="23"/>
      <c r="C261" s="23"/>
    </row>
    <row r="262">
      <c r="A262" s="30"/>
      <c r="B262" s="23"/>
      <c r="C262" s="23"/>
    </row>
    <row r="263">
      <c r="A263" s="30"/>
      <c r="B263" s="23"/>
      <c r="C263" s="23"/>
    </row>
    <row r="264">
      <c r="A264" s="30"/>
      <c r="B264" s="23"/>
      <c r="C264" s="23"/>
    </row>
    <row r="265">
      <c r="A265" s="30"/>
      <c r="B265" s="23"/>
      <c r="C265" s="23"/>
    </row>
    <row r="266">
      <c r="A266" s="30"/>
      <c r="B266" s="23"/>
      <c r="C266" s="23"/>
    </row>
    <row r="267">
      <c r="A267" s="30"/>
      <c r="B267" s="23"/>
      <c r="C267" s="23"/>
    </row>
    <row r="268">
      <c r="A268" s="30"/>
      <c r="B268" s="23"/>
      <c r="C268" s="23"/>
    </row>
    <row r="269">
      <c r="A269" s="30"/>
      <c r="B269" s="23"/>
      <c r="C269" s="23"/>
    </row>
    <row r="270">
      <c r="A270" s="30"/>
      <c r="B270" s="23"/>
      <c r="C270" s="23"/>
    </row>
    <row r="271">
      <c r="A271" s="30"/>
      <c r="B271" s="23"/>
      <c r="C271" s="23"/>
    </row>
    <row r="272">
      <c r="A272" s="30"/>
      <c r="B272" s="23"/>
      <c r="C272" s="23"/>
    </row>
    <row r="273">
      <c r="A273" s="30"/>
      <c r="B273" s="23"/>
      <c r="C273" s="23"/>
    </row>
    <row r="274">
      <c r="A274" s="30"/>
      <c r="B274" s="23"/>
      <c r="C274" s="23"/>
    </row>
    <row r="275">
      <c r="A275" s="30"/>
      <c r="B275" s="23"/>
      <c r="C275" s="23"/>
    </row>
    <row r="276">
      <c r="A276" s="30"/>
      <c r="B276" s="23"/>
      <c r="C276" s="23"/>
    </row>
    <row r="277">
      <c r="A277" s="30"/>
      <c r="B277" s="23"/>
      <c r="C277" s="23"/>
    </row>
    <row r="278">
      <c r="A278" s="30"/>
      <c r="B278" s="23"/>
      <c r="C278" s="23"/>
    </row>
    <row r="279">
      <c r="A279" s="30"/>
      <c r="B279" s="23"/>
      <c r="C279" s="23"/>
    </row>
    <row r="280">
      <c r="A280" s="30"/>
      <c r="B280" s="23"/>
      <c r="C280" s="23"/>
    </row>
    <row r="281">
      <c r="A281" s="30"/>
      <c r="B281" s="23"/>
      <c r="C281" s="23"/>
    </row>
    <row r="282">
      <c r="A282" s="30"/>
      <c r="B282" s="23"/>
      <c r="C282" s="23"/>
    </row>
    <row r="283">
      <c r="A283" s="30"/>
      <c r="B283" s="23"/>
      <c r="C283" s="23"/>
    </row>
    <row r="284">
      <c r="A284" s="30"/>
      <c r="B284" s="23"/>
      <c r="C284" s="23"/>
    </row>
    <row r="285">
      <c r="A285" s="30"/>
      <c r="B285" s="23"/>
      <c r="C285" s="23"/>
    </row>
    <row r="286">
      <c r="A286" s="30"/>
      <c r="B286" s="23"/>
      <c r="C286" s="23"/>
    </row>
    <row r="287">
      <c r="A287" s="30"/>
      <c r="B287" s="23"/>
      <c r="C287" s="23"/>
    </row>
    <row r="288">
      <c r="A288" s="30"/>
      <c r="B288" s="23"/>
      <c r="C288" s="23"/>
    </row>
    <row r="289">
      <c r="A289" s="30"/>
      <c r="B289" s="23"/>
      <c r="C289" s="23"/>
    </row>
    <row r="290">
      <c r="A290" s="30"/>
      <c r="B290" s="23"/>
      <c r="C290" s="23"/>
    </row>
    <row r="291">
      <c r="A291" s="30"/>
      <c r="B291" s="23"/>
      <c r="C291" s="23"/>
    </row>
    <row r="292">
      <c r="A292" s="30"/>
      <c r="B292" s="23"/>
      <c r="C292" s="23"/>
    </row>
    <row r="293">
      <c r="A293" s="30"/>
      <c r="B293" s="23"/>
      <c r="C293" s="23"/>
    </row>
    <row r="294">
      <c r="A294" s="30"/>
      <c r="B294" s="23"/>
      <c r="C294" s="23"/>
    </row>
    <row r="295">
      <c r="A295" s="30"/>
      <c r="B295" s="23"/>
      <c r="C295" s="23"/>
    </row>
    <row r="296">
      <c r="A296" s="30"/>
      <c r="B296" s="23"/>
      <c r="C296" s="23"/>
    </row>
    <row r="297">
      <c r="A297" s="30"/>
      <c r="B297" s="23"/>
      <c r="C297" s="23"/>
    </row>
    <row r="298">
      <c r="A298" s="30"/>
      <c r="B298" s="23"/>
      <c r="C298" s="23"/>
    </row>
    <row r="299">
      <c r="A299" s="30"/>
      <c r="B299" s="23"/>
      <c r="C299" s="23"/>
    </row>
    <row r="300">
      <c r="A300" s="30"/>
      <c r="B300" s="23"/>
      <c r="C300" s="23"/>
    </row>
    <row r="301">
      <c r="A301" s="30"/>
      <c r="B301" s="23"/>
      <c r="C301" s="23"/>
    </row>
    <row r="302">
      <c r="A302" s="30"/>
      <c r="B302" s="23"/>
      <c r="C302" s="23"/>
    </row>
    <row r="303">
      <c r="A303" s="30"/>
      <c r="B303" s="23"/>
      <c r="C303" s="23"/>
    </row>
    <row r="304">
      <c r="A304" s="30"/>
      <c r="B304" s="23"/>
      <c r="C304" s="23"/>
    </row>
    <row r="305">
      <c r="A305" s="30"/>
      <c r="B305" s="23"/>
      <c r="C305" s="23"/>
    </row>
    <row r="306">
      <c r="A306" s="30"/>
      <c r="B306" s="23"/>
      <c r="C306" s="23"/>
    </row>
    <row r="307">
      <c r="A307" s="30"/>
      <c r="B307" s="23"/>
      <c r="C307" s="23"/>
    </row>
    <row r="308">
      <c r="A308" s="30"/>
      <c r="B308" s="23"/>
      <c r="C308" s="23"/>
    </row>
    <row r="309">
      <c r="A309" s="30"/>
      <c r="B309" s="23"/>
      <c r="C309" s="23"/>
    </row>
    <row r="310">
      <c r="A310" s="30"/>
      <c r="B310" s="23"/>
      <c r="C310" s="23"/>
    </row>
    <row r="311">
      <c r="A311" s="30"/>
      <c r="B311" s="23"/>
      <c r="C311" s="23"/>
    </row>
    <row r="312">
      <c r="A312" s="30"/>
      <c r="B312" s="23"/>
      <c r="C312" s="23"/>
    </row>
    <row r="313">
      <c r="A313" s="30"/>
      <c r="B313" s="23"/>
      <c r="C313" s="23"/>
    </row>
    <row r="314">
      <c r="A314" s="30"/>
      <c r="B314" s="23"/>
      <c r="C314" s="23"/>
    </row>
    <row r="315">
      <c r="A315" s="30"/>
      <c r="B315" s="23"/>
      <c r="C315" s="23"/>
    </row>
    <row r="316">
      <c r="A316" s="30"/>
      <c r="B316" s="23"/>
      <c r="C316" s="23"/>
    </row>
    <row r="317">
      <c r="A317" s="30"/>
      <c r="B317" s="23"/>
      <c r="C317" s="23"/>
    </row>
    <row r="318">
      <c r="A318" s="30"/>
      <c r="B318" s="23"/>
      <c r="C318" s="23"/>
    </row>
    <row r="319">
      <c r="A319" s="30"/>
      <c r="B319" s="23"/>
      <c r="C319" s="23"/>
    </row>
    <row r="320">
      <c r="A320" s="30"/>
      <c r="B320" s="23"/>
      <c r="C320" s="23"/>
    </row>
    <row r="321">
      <c r="A321" s="30"/>
      <c r="B321" s="23"/>
      <c r="C321" s="23"/>
    </row>
    <row r="322">
      <c r="A322" s="30"/>
      <c r="B322" s="23"/>
      <c r="C322" s="23"/>
    </row>
    <row r="323">
      <c r="A323" s="30"/>
      <c r="B323" s="23"/>
      <c r="C323" s="23"/>
    </row>
    <row r="324">
      <c r="A324" s="30"/>
      <c r="B324" s="23"/>
      <c r="C324" s="23"/>
    </row>
    <row r="325">
      <c r="A325" s="30"/>
      <c r="B325" s="23"/>
      <c r="C325" s="23"/>
    </row>
    <row r="326">
      <c r="A326" s="30"/>
      <c r="B326" s="23"/>
      <c r="C326" s="23"/>
    </row>
    <row r="327">
      <c r="A327" s="30"/>
      <c r="B327" s="23"/>
      <c r="C327" s="23"/>
    </row>
    <row r="328">
      <c r="A328" s="30"/>
      <c r="B328" s="23"/>
      <c r="C328" s="23"/>
    </row>
    <row r="329">
      <c r="A329" s="30"/>
      <c r="B329" s="23"/>
      <c r="C329" s="23"/>
    </row>
    <row r="330">
      <c r="A330" s="30"/>
      <c r="B330" s="23"/>
      <c r="C330" s="23"/>
    </row>
    <row r="331">
      <c r="A331" s="30"/>
      <c r="B331" s="23"/>
      <c r="C331" s="23"/>
    </row>
    <row r="332">
      <c r="A332" s="30"/>
      <c r="B332" s="23"/>
      <c r="C332" s="23"/>
    </row>
    <row r="333">
      <c r="A333" s="30"/>
      <c r="B333" s="23"/>
      <c r="C333" s="23"/>
    </row>
    <row r="334">
      <c r="A334" s="30"/>
      <c r="B334" s="23"/>
      <c r="C334" s="23"/>
    </row>
    <row r="335">
      <c r="A335" s="30"/>
      <c r="B335" s="23"/>
      <c r="C335" s="23"/>
    </row>
    <row r="336">
      <c r="A336" s="30"/>
      <c r="B336" s="23"/>
      <c r="C336" s="23"/>
    </row>
    <row r="337">
      <c r="A337" s="30"/>
      <c r="B337" s="23"/>
      <c r="C337" s="23"/>
    </row>
    <row r="338">
      <c r="A338" s="30"/>
      <c r="B338" s="23"/>
      <c r="C338" s="23"/>
    </row>
    <row r="339">
      <c r="A339" s="30"/>
      <c r="B339" s="23"/>
      <c r="C339" s="23"/>
    </row>
    <row r="340">
      <c r="A340" s="30"/>
      <c r="B340" s="23"/>
      <c r="C340" s="23"/>
    </row>
    <row r="341">
      <c r="A341" s="30"/>
      <c r="B341" s="23"/>
      <c r="C341" s="23"/>
    </row>
    <row r="342">
      <c r="A342" s="30"/>
      <c r="B342" s="23"/>
      <c r="C342" s="23"/>
    </row>
    <row r="343">
      <c r="A343" s="30"/>
      <c r="B343" s="23"/>
      <c r="C343" s="23"/>
    </row>
    <row r="344">
      <c r="A344" s="30"/>
      <c r="B344" s="23"/>
      <c r="C344" s="23"/>
    </row>
    <row r="345">
      <c r="A345" s="30"/>
      <c r="B345" s="23"/>
      <c r="C345" s="23"/>
    </row>
    <row r="346">
      <c r="A346" s="30"/>
      <c r="B346" s="23"/>
      <c r="C346" s="23"/>
    </row>
    <row r="347">
      <c r="A347" s="30"/>
      <c r="B347" s="23"/>
      <c r="C347" s="23"/>
    </row>
    <row r="348">
      <c r="A348" s="30"/>
      <c r="B348" s="23"/>
      <c r="C348" s="23"/>
    </row>
    <row r="349">
      <c r="A349" s="30"/>
      <c r="B349" s="23"/>
      <c r="C349" s="23"/>
    </row>
    <row r="350">
      <c r="A350" s="30"/>
      <c r="B350" s="23"/>
      <c r="C350" s="23"/>
    </row>
    <row r="351">
      <c r="A351" s="30"/>
      <c r="B351" s="23"/>
      <c r="C351" s="23"/>
    </row>
    <row r="352">
      <c r="A352" s="30"/>
      <c r="B352" s="23"/>
      <c r="C352" s="23"/>
    </row>
    <row r="353">
      <c r="A353" s="30"/>
      <c r="B353" s="23"/>
      <c r="C353" s="23"/>
    </row>
    <row r="354">
      <c r="A354" s="30"/>
      <c r="B354" s="23"/>
      <c r="C354" s="23"/>
    </row>
    <row r="355">
      <c r="A355" s="30"/>
      <c r="B355" s="23"/>
      <c r="C355" s="23"/>
    </row>
    <row r="356">
      <c r="A356" s="30"/>
      <c r="B356" s="23"/>
      <c r="C356" s="23"/>
    </row>
    <row r="357">
      <c r="A357" s="30"/>
      <c r="B357" s="23"/>
      <c r="C357" s="23"/>
    </row>
    <row r="358">
      <c r="A358" s="30"/>
      <c r="B358" s="23"/>
      <c r="C358" s="23"/>
    </row>
    <row r="359">
      <c r="A359" s="30"/>
      <c r="B359" s="23"/>
      <c r="C359" s="23"/>
    </row>
    <row r="360">
      <c r="A360" s="30"/>
      <c r="B360" s="23"/>
      <c r="C360" s="23"/>
    </row>
    <row r="361">
      <c r="A361" s="30"/>
      <c r="B361" s="23"/>
      <c r="C361" s="23"/>
    </row>
    <row r="362">
      <c r="A362" s="30"/>
      <c r="B362" s="23"/>
      <c r="C362" s="23"/>
    </row>
    <row r="363">
      <c r="A363" s="30"/>
      <c r="B363" s="23"/>
      <c r="C363" s="23"/>
    </row>
    <row r="364">
      <c r="A364" s="30"/>
      <c r="B364" s="23"/>
      <c r="C364" s="23"/>
    </row>
    <row r="365">
      <c r="A365" s="30"/>
      <c r="B365" s="23"/>
      <c r="C365" s="23"/>
    </row>
    <row r="366">
      <c r="A366" s="30"/>
      <c r="B366" s="23"/>
      <c r="C366" s="23"/>
    </row>
    <row r="367">
      <c r="A367" s="30"/>
      <c r="B367" s="23"/>
      <c r="C367" s="23"/>
    </row>
    <row r="368">
      <c r="A368" s="30"/>
      <c r="B368" s="23"/>
      <c r="C368" s="23"/>
    </row>
    <row r="369">
      <c r="A369" s="30"/>
      <c r="B369" s="23"/>
      <c r="C369" s="23"/>
    </row>
    <row r="370">
      <c r="A370" s="30"/>
      <c r="B370" s="23"/>
      <c r="C370" s="23"/>
    </row>
    <row r="371">
      <c r="A371" s="30"/>
      <c r="B371" s="23"/>
      <c r="C371" s="23"/>
    </row>
    <row r="372">
      <c r="A372" s="30"/>
      <c r="B372" s="23"/>
      <c r="C372" s="23"/>
    </row>
    <row r="373">
      <c r="A373" s="30"/>
      <c r="B373" s="23"/>
      <c r="C373" s="23"/>
    </row>
    <row r="374">
      <c r="A374" s="30"/>
      <c r="B374" s="23"/>
      <c r="C374" s="23"/>
    </row>
    <row r="375">
      <c r="A375" s="30"/>
      <c r="B375" s="23"/>
      <c r="C375" s="23"/>
    </row>
    <row r="376">
      <c r="A376" s="30"/>
      <c r="B376" s="23"/>
      <c r="C376" s="23"/>
    </row>
    <row r="377">
      <c r="A377" s="30"/>
      <c r="B377" s="23"/>
      <c r="C377" s="23"/>
    </row>
    <row r="378">
      <c r="A378" s="30"/>
      <c r="B378" s="23"/>
      <c r="C378" s="23"/>
    </row>
    <row r="379">
      <c r="A379" s="30"/>
      <c r="B379" s="23"/>
      <c r="C379" s="23"/>
    </row>
    <row r="380">
      <c r="A380" s="30"/>
      <c r="B380" s="23"/>
      <c r="C380" s="23"/>
    </row>
    <row r="381">
      <c r="A381" s="30"/>
      <c r="B381" s="23"/>
      <c r="C381" s="23"/>
    </row>
    <row r="382">
      <c r="A382" s="30"/>
      <c r="B382" s="23"/>
      <c r="C382" s="23"/>
    </row>
    <row r="383">
      <c r="A383" s="30"/>
      <c r="B383" s="23"/>
      <c r="C383" s="23"/>
    </row>
    <row r="384">
      <c r="A384" s="30"/>
      <c r="B384" s="23"/>
      <c r="C384" s="23"/>
    </row>
    <row r="385">
      <c r="A385" s="30"/>
      <c r="B385" s="23"/>
      <c r="C385" s="23"/>
    </row>
    <row r="386">
      <c r="A386" s="30"/>
      <c r="B386" s="23"/>
      <c r="C386" s="23"/>
    </row>
    <row r="387">
      <c r="A387" s="30"/>
      <c r="B387" s="23"/>
      <c r="C387" s="23"/>
    </row>
    <row r="388">
      <c r="A388" s="30"/>
      <c r="B388" s="23"/>
      <c r="C388" s="23"/>
    </row>
    <row r="389">
      <c r="A389" s="30"/>
      <c r="B389" s="23"/>
      <c r="C389" s="23"/>
    </row>
    <row r="390">
      <c r="A390" s="30"/>
      <c r="B390" s="23"/>
      <c r="C390" s="23"/>
    </row>
    <row r="391">
      <c r="A391" s="30"/>
      <c r="B391" s="23"/>
      <c r="C391" s="23"/>
    </row>
    <row r="392">
      <c r="A392" s="30"/>
      <c r="B392" s="23"/>
      <c r="C392" s="23"/>
    </row>
    <row r="393">
      <c r="A393" s="30"/>
      <c r="B393" s="23"/>
      <c r="C393" s="23"/>
    </row>
    <row r="394">
      <c r="A394" s="30"/>
      <c r="B394" s="23"/>
      <c r="C394" s="23"/>
    </row>
    <row r="395">
      <c r="A395" s="30"/>
      <c r="B395" s="23"/>
      <c r="C395" s="23"/>
    </row>
    <row r="396">
      <c r="A396" s="30"/>
      <c r="B396" s="23"/>
      <c r="C396" s="23"/>
    </row>
    <row r="397">
      <c r="A397" s="30"/>
      <c r="B397" s="23"/>
      <c r="C397" s="23"/>
    </row>
    <row r="398">
      <c r="A398" s="30"/>
      <c r="B398" s="23"/>
      <c r="C398" s="23"/>
    </row>
    <row r="399">
      <c r="A399" s="30"/>
      <c r="B399" s="23"/>
      <c r="C399" s="23"/>
    </row>
    <row r="400">
      <c r="A400" s="30"/>
      <c r="B400" s="23"/>
      <c r="C400" s="23"/>
    </row>
    <row r="401">
      <c r="A401" s="30"/>
      <c r="B401" s="23"/>
      <c r="C401" s="23"/>
    </row>
    <row r="402">
      <c r="A402" s="30"/>
      <c r="B402" s="23"/>
      <c r="C402" s="23"/>
    </row>
    <row r="403">
      <c r="A403" s="30"/>
      <c r="B403" s="23"/>
      <c r="C403" s="23"/>
    </row>
    <row r="404">
      <c r="A404" s="30"/>
      <c r="B404" s="23"/>
      <c r="C404" s="23"/>
    </row>
    <row r="405">
      <c r="A405" s="30"/>
      <c r="B405" s="23"/>
      <c r="C405" s="23"/>
    </row>
    <row r="406">
      <c r="A406" s="30"/>
      <c r="B406" s="23"/>
      <c r="C406" s="23"/>
    </row>
    <row r="407">
      <c r="A407" s="30"/>
      <c r="B407" s="23"/>
      <c r="C407" s="23"/>
    </row>
    <row r="408">
      <c r="A408" s="30"/>
      <c r="B408" s="23"/>
      <c r="C408" s="23"/>
    </row>
    <row r="409">
      <c r="A409" s="30"/>
      <c r="B409" s="23"/>
      <c r="C409" s="23"/>
    </row>
    <row r="410">
      <c r="A410" s="30"/>
      <c r="B410" s="23"/>
      <c r="C410" s="23"/>
    </row>
    <row r="411">
      <c r="A411" s="30"/>
      <c r="B411" s="23"/>
      <c r="C411" s="23"/>
    </row>
    <row r="412">
      <c r="A412" s="30"/>
      <c r="B412" s="23"/>
      <c r="C412" s="23"/>
    </row>
    <row r="413">
      <c r="A413" s="30"/>
      <c r="B413" s="23"/>
      <c r="C413" s="23"/>
    </row>
    <row r="414">
      <c r="A414" s="30"/>
      <c r="B414" s="23"/>
      <c r="C414" s="23"/>
    </row>
    <row r="415">
      <c r="A415" s="30"/>
      <c r="B415" s="23"/>
      <c r="C415" s="23"/>
    </row>
    <row r="416">
      <c r="A416" s="30"/>
      <c r="B416" s="23"/>
      <c r="C416" s="23"/>
    </row>
    <row r="417">
      <c r="A417" s="30"/>
      <c r="B417" s="23"/>
      <c r="C417" s="23"/>
    </row>
    <row r="418">
      <c r="A418" s="30"/>
      <c r="B418" s="23"/>
      <c r="C418" s="23"/>
    </row>
    <row r="419">
      <c r="A419" s="30"/>
      <c r="B419" s="23"/>
      <c r="C419" s="23"/>
    </row>
    <row r="420">
      <c r="A420" s="30"/>
      <c r="B420" s="23"/>
      <c r="C420" s="23"/>
    </row>
    <row r="421">
      <c r="A421" s="30"/>
      <c r="B421" s="23"/>
      <c r="C421" s="23"/>
    </row>
    <row r="422">
      <c r="A422" s="30"/>
      <c r="B422" s="23"/>
      <c r="C422" s="23"/>
    </row>
    <row r="423">
      <c r="A423" s="30"/>
      <c r="B423" s="23"/>
      <c r="C423" s="23"/>
    </row>
    <row r="424">
      <c r="A424" s="30"/>
      <c r="B424" s="23"/>
      <c r="C424" s="23"/>
    </row>
    <row r="425">
      <c r="A425" s="30"/>
      <c r="B425" s="23"/>
      <c r="C425" s="23"/>
    </row>
    <row r="426">
      <c r="A426" s="30"/>
      <c r="B426" s="23"/>
      <c r="C426" s="23"/>
    </row>
    <row r="427">
      <c r="A427" s="30"/>
      <c r="B427" s="23"/>
      <c r="C427" s="23"/>
    </row>
    <row r="428">
      <c r="A428" s="30"/>
      <c r="B428" s="23"/>
      <c r="C428" s="23"/>
    </row>
    <row r="429">
      <c r="A429" s="30"/>
      <c r="B429" s="23"/>
      <c r="C429" s="23"/>
    </row>
    <row r="430">
      <c r="A430" s="30"/>
      <c r="B430" s="23"/>
      <c r="C430" s="23"/>
    </row>
    <row r="431">
      <c r="A431" s="30"/>
      <c r="B431" s="23"/>
      <c r="C431" s="23"/>
    </row>
    <row r="432">
      <c r="A432" s="30"/>
      <c r="B432" s="23"/>
      <c r="C432" s="23"/>
    </row>
    <row r="433">
      <c r="A433" s="30"/>
      <c r="B433" s="23"/>
      <c r="C433" s="23"/>
    </row>
    <row r="434">
      <c r="A434" s="30"/>
      <c r="B434" s="23"/>
      <c r="C434" s="23"/>
    </row>
    <row r="435">
      <c r="A435" s="30"/>
      <c r="B435" s="23"/>
      <c r="C435" s="23"/>
    </row>
    <row r="436">
      <c r="A436" s="30"/>
      <c r="B436" s="23"/>
      <c r="C436" s="23"/>
    </row>
    <row r="437">
      <c r="A437" s="30"/>
      <c r="B437" s="23"/>
      <c r="C437" s="23"/>
    </row>
    <row r="438">
      <c r="A438" s="30"/>
      <c r="B438" s="23"/>
      <c r="C438" s="23"/>
    </row>
    <row r="439">
      <c r="A439" s="30"/>
      <c r="B439" s="23"/>
      <c r="C439" s="23"/>
    </row>
    <row r="440">
      <c r="A440" s="30"/>
      <c r="B440" s="23"/>
      <c r="C440" s="23"/>
    </row>
    <row r="441">
      <c r="A441" s="30"/>
      <c r="B441" s="23"/>
      <c r="C441" s="23"/>
    </row>
    <row r="442">
      <c r="A442" s="30"/>
      <c r="B442" s="23"/>
      <c r="C442" s="23"/>
    </row>
    <row r="443">
      <c r="A443" s="30"/>
      <c r="B443" s="23"/>
      <c r="C443" s="23"/>
    </row>
    <row r="444">
      <c r="A444" s="30"/>
      <c r="B444" s="23"/>
      <c r="C444" s="23"/>
    </row>
    <row r="445">
      <c r="A445" s="30"/>
      <c r="B445" s="23"/>
      <c r="C445" s="23"/>
    </row>
    <row r="446">
      <c r="A446" s="30"/>
      <c r="B446" s="23"/>
      <c r="C446" s="23"/>
    </row>
    <row r="447">
      <c r="A447" s="30"/>
      <c r="B447" s="23"/>
      <c r="C447" s="23"/>
    </row>
    <row r="448">
      <c r="A448" s="30"/>
      <c r="B448" s="23"/>
      <c r="C448" s="23"/>
    </row>
    <row r="449">
      <c r="A449" s="30"/>
      <c r="B449" s="23"/>
      <c r="C449" s="23"/>
    </row>
    <row r="450">
      <c r="A450" s="30"/>
      <c r="B450" s="23"/>
      <c r="C450" s="23"/>
    </row>
    <row r="451">
      <c r="A451" s="30"/>
      <c r="B451" s="23"/>
      <c r="C451" s="23"/>
    </row>
    <row r="452">
      <c r="A452" s="30"/>
      <c r="B452" s="23"/>
      <c r="C452" s="23"/>
    </row>
    <row r="453">
      <c r="A453" s="30"/>
      <c r="B453" s="23"/>
      <c r="C453" s="23"/>
    </row>
    <row r="454">
      <c r="A454" s="30"/>
      <c r="B454" s="23"/>
      <c r="C454" s="23"/>
    </row>
    <row r="455">
      <c r="A455" s="30"/>
      <c r="B455" s="23"/>
      <c r="C455" s="23"/>
    </row>
    <row r="456">
      <c r="A456" s="30"/>
      <c r="B456" s="23"/>
      <c r="C456" s="23"/>
    </row>
    <row r="457">
      <c r="A457" s="30"/>
      <c r="B457" s="23"/>
      <c r="C457" s="23"/>
    </row>
    <row r="458">
      <c r="A458" s="30"/>
      <c r="B458" s="23"/>
      <c r="C458" s="23"/>
    </row>
    <row r="459">
      <c r="A459" s="30"/>
      <c r="B459" s="23"/>
      <c r="C459" s="23"/>
    </row>
    <row r="460">
      <c r="A460" s="30"/>
      <c r="B460" s="23"/>
      <c r="C460" s="23"/>
    </row>
    <row r="461">
      <c r="A461" s="30"/>
      <c r="B461" s="23"/>
      <c r="C461" s="23"/>
    </row>
    <row r="462">
      <c r="A462" s="30"/>
      <c r="B462" s="23"/>
      <c r="C462" s="23"/>
    </row>
    <row r="463">
      <c r="A463" s="30"/>
      <c r="B463" s="23"/>
      <c r="C463" s="23"/>
    </row>
    <row r="464">
      <c r="A464" s="30"/>
      <c r="B464" s="23"/>
      <c r="C464" s="23"/>
    </row>
    <row r="465">
      <c r="A465" s="30"/>
      <c r="B465" s="23"/>
      <c r="C465" s="23"/>
    </row>
    <row r="466">
      <c r="A466" s="30"/>
      <c r="B466" s="23"/>
      <c r="C466" s="23"/>
    </row>
    <row r="467">
      <c r="A467" s="30"/>
      <c r="B467" s="23"/>
      <c r="C467" s="23"/>
    </row>
    <row r="468">
      <c r="A468" s="30"/>
      <c r="B468" s="23"/>
      <c r="C468" s="23"/>
    </row>
    <row r="469">
      <c r="A469" s="30"/>
      <c r="B469" s="23"/>
      <c r="C469" s="23"/>
    </row>
    <row r="470">
      <c r="A470" s="30"/>
      <c r="B470" s="23"/>
      <c r="C470" s="23"/>
    </row>
    <row r="471">
      <c r="A471" s="30"/>
      <c r="B471" s="23"/>
      <c r="C471" s="23"/>
    </row>
    <row r="472">
      <c r="A472" s="30"/>
      <c r="B472" s="23"/>
      <c r="C472" s="23"/>
    </row>
    <row r="473">
      <c r="A473" s="30"/>
      <c r="B473" s="23"/>
      <c r="C473" s="23"/>
    </row>
    <row r="474">
      <c r="A474" s="30"/>
      <c r="B474" s="23"/>
      <c r="C474" s="23"/>
    </row>
    <row r="475">
      <c r="A475" s="30"/>
      <c r="B475" s="23"/>
      <c r="C475" s="23"/>
    </row>
    <row r="476">
      <c r="A476" s="30"/>
      <c r="B476" s="23"/>
      <c r="C476" s="23"/>
    </row>
    <row r="477">
      <c r="A477" s="30"/>
      <c r="B477" s="23"/>
      <c r="C477" s="23"/>
    </row>
    <row r="478">
      <c r="A478" s="30"/>
      <c r="B478" s="23"/>
      <c r="C478" s="23"/>
    </row>
    <row r="479">
      <c r="A479" s="30"/>
      <c r="B479" s="23"/>
      <c r="C479" s="23"/>
    </row>
    <row r="480">
      <c r="A480" s="30"/>
      <c r="B480" s="23"/>
      <c r="C480" s="23"/>
    </row>
    <row r="481">
      <c r="A481" s="30"/>
      <c r="B481" s="23"/>
      <c r="C481" s="23"/>
    </row>
    <row r="482">
      <c r="A482" s="30"/>
      <c r="B482" s="23"/>
      <c r="C482" s="23"/>
    </row>
    <row r="483">
      <c r="A483" s="30"/>
      <c r="B483" s="23"/>
      <c r="C483" s="23"/>
    </row>
    <row r="484">
      <c r="A484" s="30"/>
      <c r="B484" s="23"/>
      <c r="C484" s="23"/>
    </row>
    <row r="485">
      <c r="A485" s="30"/>
      <c r="B485" s="23"/>
      <c r="C485" s="23"/>
    </row>
    <row r="486">
      <c r="A486" s="30"/>
      <c r="B486" s="23"/>
      <c r="C486" s="23"/>
    </row>
    <row r="487">
      <c r="A487" s="30"/>
      <c r="B487" s="23"/>
      <c r="C487" s="23"/>
    </row>
    <row r="488">
      <c r="A488" s="30"/>
      <c r="B488" s="23"/>
      <c r="C488" s="23"/>
    </row>
    <row r="489">
      <c r="A489" s="30"/>
      <c r="B489" s="23"/>
      <c r="C489" s="23"/>
    </row>
    <row r="490">
      <c r="A490" s="30"/>
      <c r="B490" s="23"/>
      <c r="C490" s="23"/>
    </row>
    <row r="491">
      <c r="A491" s="30"/>
      <c r="B491" s="23"/>
      <c r="C491" s="23"/>
    </row>
    <row r="492">
      <c r="A492" s="30"/>
      <c r="B492" s="23"/>
      <c r="C492" s="23"/>
    </row>
    <row r="493">
      <c r="A493" s="30"/>
      <c r="B493" s="23"/>
      <c r="C493" s="23"/>
    </row>
    <row r="494">
      <c r="A494" s="30"/>
      <c r="B494" s="23"/>
      <c r="C494" s="23"/>
    </row>
    <row r="495">
      <c r="A495" s="30"/>
      <c r="B495" s="23"/>
      <c r="C495" s="23"/>
    </row>
    <row r="496">
      <c r="A496" s="30"/>
      <c r="B496" s="23"/>
      <c r="C496" s="23"/>
    </row>
    <row r="497">
      <c r="A497" s="30"/>
      <c r="B497" s="23"/>
      <c r="C497" s="23"/>
    </row>
    <row r="498">
      <c r="A498" s="30"/>
      <c r="B498" s="23"/>
      <c r="C498" s="23"/>
    </row>
    <row r="499">
      <c r="A499" s="30"/>
      <c r="B499" s="23"/>
      <c r="C499" s="23"/>
    </row>
    <row r="500">
      <c r="A500" s="30"/>
      <c r="B500" s="23"/>
      <c r="C500" s="23"/>
    </row>
    <row r="501">
      <c r="A501" s="30"/>
      <c r="B501" s="23"/>
      <c r="C501" s="23"/>
    </row>
    <row r="502">
      <c r="A502" s="30"/>
      <c r="B502" s="23"/>
      <c r="C502" s="23"/>
    </row>
    <row r="503">
      <c r="A503" s="30"/>
      <c r="B503" s="23"/>
      <c r="C503" s="23"/>
    </row>
    <row r="504">
      <c r="A504" s="30"/>
      <c r="B504" s="23"/>
      <c r="C504" s="23"/>
    </row>
    <row r="505">
      <c r="A505" s="30"/>
      <c r="B505" s="23"/>
      <c r="C505" s="23"/>
    </row>
    <row r="506">
      <c r="A506" s="30"/>
      <c r="B506" s="23"/>
      <c r="C506" s="23"/>
    </row>
    <row r="507">
      <c r="A507" s="30"/>
      <c r="B507" s="23"/>
      <c r="C507" s="23"/>
    </row>
    <row r="508">
      <c r="A508" s="30"/>
      <c r="B508" s="23"/>
      <c r="C508" s="23"/>
    </row>
    <row r="509">
      <c r="A509" s="30"/>
      <c r="B509" s="23"/>
      <c r="C509" s="23"/>
    </row>
    <row r="510">
      <c r="A510" s="30"/>
      <c r="B510" s="23"/>
      <c r="C510" s="23"/>
    </row>
    <row r="511">
      <c r="A511" s="30"/>
      <c r="B511" s="23"/>
      <c r="C511" s="23"/>
    </row>
    <row r="512">
      <c r="A512" s="30"/>
      <c r="B512" s="23"/>
      <c r="C512" s="23"/>
    </row>
    <row r="513">
      <c r="A513" s="30"/>
      <c r="B513" s="23"/>
      <c r="C513" s="23"/>
    </row>
    <row r="514">
      <c r="A514" s="30"/>
      <c r="B514" s="23"/>
      <c r="C514" s="23"/>
    </row>
    <row r="515">
      <c r="A515" s="30"/>
      <c r="B515" s="23"/>
      <c r="C515" s="23"/>
    </row>
    <row r="516">
      <c r="A516" s="30"/>
      <c r="B516" s="23"/>
      <c r="C516" s="23"/>
    </row>
    <row r="517">
      <c r="A517" s="30"/>
      <c r="B517" s="23"/>
      <c r="C517" s="23"/>
    </row>
    <row r="518">
      <c r="A518" s="30"/>
      <c r="B518" s="23"/>
      <c r="C518" s="23"/>
    </row>
    <row r="519">
      <c r="A519" s="30"/>
      <c r="B519" s="23"/>
      <c r="C519" s="23"/>
    </row>
    <row r="520">
      <c r="A520" s="30"/>
      <c r="B520" s="23"/>
      <c r="C520" s="23"/>
    </row>
    <row r="521">
      <c r="A521" s="30"/>
      <c r="B521" s="23"/>
      <c r="C521" s="23"/>
    </row>
    <row r="522">
      <c r="A522" s="30"/>
      <c r="B522" s="23"/>
      <c r="C522" s="23"/>
    </row>
    <row r="523">
      <c r="A523" s="30"/>
      <c r="B523" s="23"/>
      <c r="C523" s="23"/>
    </row>
    <row r="524">
      <c r="A524" s="30"/>
      <c r="B524" s="23"/>
      <c r="C524" s="23"/>
    </row>
    <row r="525">
      <c r="A525" s="30"/>
      <c r="B525" s="23"/>
      <c r="C525" s="23"/>
    </row>
    <row r="526">
      <c r="A526" s="30"/>
      <c r="B526" s="23"/>
      <c r="C526" s="23"/>
    </row>
    <row r="527">
      <c r="A527" s="30"/>
      <c r="B527" s="23"/>
      <c r="C527" s="23"/>
    </row>
    <row r="528">
      <c r="A528" s="30"/>
      <c r="B528" s="23"/>
      <c r="C528" s="23"/>
    </row>
    <row r="529">
      <c r="A529" s="30"/>
      <c r="B529" s="23"/>
      <c r="C529" s="23"/>
    </row>
    <row r="530">
      <c r="A530" s="30"/>
      <c r="B530" s="23"/>
      <c r="C530" s="23"/>
    </row>
    <row r="531">
      <c r="A531" s="30"/>
      <c r="B531" s="23"/>
      <c r="C531" s="23"/>
    </row>
    <row r="532">
      <c r="A532" s="30"/>
      <c r="B532" s="23"/>
      <c r="C532" s="23"/>
    </row>
    <row r="533">
      <c r="A533" s="30"/>
      <c r="B533" s="23"/>
      <c r="C533" s="23"/>
    </row>
    <row r="534">
      <c r="A534" s="30"/>
      <c r="B534" s="23"/>
      <c r="C534" s="23"/>
    </row>
    <row r="535">
      <c r="A535" s="30"/>
      <c r="B535" s="23"/>
      <c r="C535" s="23"/>
    </row>
    <row r="536">
      <c r="A536" s="30"/>
      <c r="B536" s="23"/>
      <c r="C536" s="23"/>
    </row>
    <row r="537">
      <c r="A537" s="30"/>
      <c r="B537" s="23"/>
      <c r="C537" s="23"/>
    </row>
    <row r="538">
      <c r="A538" s="30"/>
      <c r="B538" s="23"/>
      <c r="C538" s="23"/>
    </row>
    <row r="539">
      <c r="A539" s="30"/>
      <c r="B539" s="23"/>
      <c r="C539" s="23"/>
    </row>
    <row r="540">
      <c r="A540" s="30"/>
      <c r="B540" s="23"/>
      <c r="C540" s="23"/>
    </row>
    <row r="541">
      <c r="A541" s="30"/>
      <c r="B541" s="23"/>
      <c r="C541" s="23"/>
    </row>
    <row r="542">
      <c r="A542" s="30"/>
      <c r="B542" s="23"/>
      <c r="C542" s="23"/>
    </row>
    <row r="543">
      <c r="A543" s="30"/>
      <c r="B543" s="23"/>
      <c r="C543" s="23"/>
    </row>
    <row r="544">
      <c r="A544" s="30"/>
      <c r="B544" s="23"/>
      <c r="C544" s="23"/>
    </row>
    <row r="545">
      <c r="A545" s="30"/>
      <c r="B545" s="23"/>
      <c r="C545" s="23"/>
    </row>
    <row r="546">
      <c r="A546" s="30"/>
      <c r="B546" s="23"/>
      <c r="C546" s="23"/>
    </row>
    <row r="547">
      <c r="A547" s="30"/>
      <c r="B547" s="23"/>
      <c r="C547" s="23"/>
    </row>
    <row r="548">
      <c r="A548" s="30"/>
      <c r="B548" s="23"/>
      <c r="C548" s="23"/>
    </row>
    <row r="549">
      <c r="A549" s="30"/>
      <c r="B549" s="23"/>
      <c r="C549" s="23"/>
    </row>
    <row r="550">
      <c r="A550" s="30"/>
      <c r="B550" s="23"/>
      <c r="C550" s="23"/>
    </row>
    <row r="551">
      <c r="A551" s="30"/>
      <c r="B551" s="23"/>
      <c r="C551" s="23"/>
    </row>
    <row r="552">
      <c r="A552" s="30"/>
      <c r="B552" s="23"/>
      <c r="C552" s="23"/>
    </row>
    <row r="553">
      <c r="A553" s="30"/>
      <c r="B553" s="23"/>
      <c r="C553" s="23"/>
    </row>
    <row r="554">
      <c r="A554" s="30"/>
      <c r="B554" s="23"/>
      <c r="C554" s="23"/>
    </row>
    <row r="555">
      <c r="A555" s="30"/>
      <c r="B555" s="23"/>
      <c r="C555" s="23"/>
    </row>
    <row r="556">
      <c r="A556" s="30"/>
      <c r="B556" s="23"/>
      <c r="C556" s="23"/>
    </row>
    <row r="557">
      <c r="A557" s="30"/>
      <c r="B557" s="23"/>
      <c r="C557" s="23"/>
    </row>
    <row r="558">
      <c r="A558" s="30"/>
      <c r="B558" s="23"/>
      <c r="C558" s="23"/>
    </row>
    <row r="559">
      <c r="A559" s="30"/>
      <c r="B559" s="23"/>
      <c r="C559" s="23"/>
    </row>
    <row r="560">
      <c r="A560" s="30"/>
      <c r="B560" s="23"/>
      <c r="C560" s="23"/>
    </row>
    <row r="561">
      <c r="A561" s="30"/>
      <c r="B561" s="23"/>
      <c r="C561" s="23"/>
    </row>
    <row r="562">
      <c r="A562" s="30"/>
      <c r="B562" s="23"/>
      <c r="C562" s="23"/>
    </row>
    <row r="563">
      <c r="A563" s="30"/>
      <c r="B563" s="23"/>
      <c r="C563" s="23"/>
    </row>
    <row r="564">
      <c r="A564" s="30"/>
      <c r="B564" s="23"/>
      <c r="C564" s="23"/>
    </row>
    <row r="565">
      <c r="A565" s="30"/>
      <c r="B565" s="23"/>
      <c r="C565" s="23"/>
    </row>
    <row r="566">
      <c r="A566" s="30"/>
      <c r="B566" s="23"/>
      <c r="C566" s="23"/>
    </row>
    <row r="567">
      <c r="A567" s="30"/>
      <c r="B567" s="23"/>
      <c r="C567" s="23"/>
    </row>
    <row r="568">
      <c r="A568" s="30"/>
      <c r="B568" s="23"/>
      <c r="C568" s="23"/>
    </row>
    <row r="569">
      <c r="A569" s="30"/>
      <c r="B569" s="23"/>
      <c r="C569" s="23"/>
    </row>
    <row r="570">
      <c r="A570" s="30"/>
      <c r="B570" s="23"/>
      <c r="C570" s="23"/>
    </row>
    <row r="571">
      <c r="A571" s="30"/>
      <c r="B571" s="23"/>
      <c r="C571" s="23"/>
    </row>
    <row r="572">
      <c r="A572" s="30"/>
      <c r="B572" s="23"/>
      <c r="C572" s="23"/>
    </row>
    <row r="573">
      <c r="A573" s="30"/>
      <c r="B573" s="23"/>
      <c r="C573" s="23"/>
    </row>
    <row r="574">
      <c r="A574" s="30"/>
      <c r="B574" s="23"/>
      <c r="C574" s="23"/>
    </row>
    <row r="575">
      <c r="A575" s="30"/>
      <c r="B575" s="23"/>
      <c r="C575" s="23"/>
    </row>
    <row r="576">
      <c r="A576" s="30"/>
      <c r="B576" s="23"/>
      <c r="C576" s="23"/>
    </row>
    <row r="577">
      <c r="A577" s="30"/>
      <c r="B577" s="23"/>
      <c r="C577" s="23"/>
    </row>
    <row r="578">
      <c r="A578" s="30"/>
      <c r="B578" s="23"/>
      <c r="C578" s="23"/>
    </row>
    <row r="579">
      <c r="A579" s="30"/>
      <c r="B579" s="23"/>
      <c r="C579" s="23"/>
    </row>
    <row r="580">
      <c r="A580" s="30"/>
      <c r="B580" s="23"/>
      <c r="C580" s="23"/>
    </row>
    <row r="581">
      <c r="A581" s="30"/>
      <c r="B581" s="23"/>
      <c r="C581" s="23"/>
    </row>
    <row r="582">
      <c r="A582" s="30"/>
      <c r="B582" s="23"/>
      <c r="C582" s="23"/>
    </row>
    <row r="583">
      <c r="A583" s="30"/>
      <c r="B583" s="23"/>
      <c r="C583" s="23"/>
    </row>
    <row r="584">
      <c r="A584" s="30"/>
      <c r="B584" s="23"/>
      <c r="C584" s="23"/>
    </row>
    <row r="585">
      <c r="A585" s="30"/>
      <c r="B585" s="23"/>
      <c r="C585" s="23"/>
    </row>
    <row r="586">
      <c r="A586" s="30"/>
      <c r="B586" s="23"/>
      <c r="C586" s="23"/>
    </row>
    <row r="587">
      <c r="A587" s="30"/>
      <c r="B587" s="23"/>
      <c r="C587" s="23"/>
    </row>
    <row r="588">
      <c r="A588" s="30"/>
      <c r="B588" s="23"/>
      <c r="C588" s="23"/>
    </row>
    <row r="589">
      <c r="A589" s="30"/>
      <c r="B589" s="23"/>
      <c r="C589" s="23"/>
    </row>
    <row r="590">
      <c r="A590" s="30"/>
      <c r="B590" s="23"/>
      <c r="C590" s="23"/>
    </row>
    <row r="591">
      <c r="A591" s="30"/>
      <c r="B591" s="23"/>
      <c r="C591" s="23"/>
    </row>
    <row r="592">
      <c r="A592" s="30"/>
      <c r="B592" s="23"/>
      <c r="C592" s="23"/>
    </row>
    <row r="593">
      <c r="A593" s="30"/>
      <c r="B593" s="23"/>
      <c r="C593" s="23"/>
    </row>
    <row r="594">
      <c r="A594" s="30"/>
      <c r="B594" s="23"/>
      <c r="C594" s="23"/>
    </row>
    <row r="595">
      <c r="A595" s="30"/>
      <c r="B595" s="23"/>
      <c r="C595" s="23"/>
    </row>
    <row r="596">
      <c r="A596" s="30"/>
      <c r="B596" s="23"/>
      <c r="C596" s="23"/>
    </row>
    <row r="597">
      <c r="A597" s="30"/>
      <c r="B597" s="23"/>
      <c r="C597" s="23"/>
    </row>
    <row r="598">
      <c r="A598" s="30"/>
      <c r="B598" s="23"/>
      <c r="C598" s="23"/>
    </row>
    <row r="599">
      <c r="A599" s="30"/>
      <c r="B599" s="23"/>
      <c r="C599" s="23"/>
    </row>
    <row r="600">
      <c r="A600" s="30"/>
      <c r="B600" s="23"/>
      <c r="C600" s="23"/>
    </row>
    <row r="601">
      <c r="A601" s="30"/>
      <c r="B601" s="23"/>
      <c r="C601" s="23"/>
    </row>
    <row r="602">
      <c r="A602" s="30"/>
      <c r="B602" s="23"/>
      <c r="C602" s="23"/>
    </row>
    <row r="603">
      <c r="A603" s="30"/>
      <c r="B603" s="23"/>
      <c r="C603" s="23"/>
    </row>
    <row r="604">
      <c r="A604" s="30"/>
      <c r="B604" s="23"/>
      <c r="C604" s="23"/>
    </row>
    <row r="605">
      <c r="A605" s="30"/>
      <c r="B605" s="23"/>
      <c r="C605" s="23"/>
    </row>
    <row r="606">
      <c r="A606" s="30"/>
      <c r="B606" s="23"/>
      <c r="C606" s="23"/>
    </row>
    <row r="607">
      <c r="A607" s="30"/>
      <c r="B607" s="23"/>
      <c r="C607" s="23"/>
    </row>
    <row r="608">
      <c r="A608" s="30"/>
      <c r="B608" s="23"/>
      <c r="C608" s="23"/>
    </row>
    <row r="609">
      <c r="A609" s="30"/>
      <c r="B609" s="23"/>
      <c r="C609" s="23"/>
    </row>
    <row r="610">
      <c r="A610" s="30"/>
      <c r="B610" s="23"/>
      <c r="C610" s="23"/>
    </row>
    <row r="611">
      <c r="A611" s="30"/>
      <c r="B611" s="23"/>
      <c r="C611" s="23"/>
    </row>
    <row r="612">
      <c r="A612" s="30"/>
      <c r="B612" s="23"/>
      <c r="C612" s="23"/>
    </row>
    <row r="613">
      <c r="A613" s="30"/>
      <c r="B613" s="23"/>
      <c r="C613" s="23"/>
    </row>
    <row r="614">
      <c r="A614" s="30"/>
      <c r="B614" s="23"/>
      <c r="C614" s="23"/>
    </row>
    <row r="615">
      <c r="A615" s="30"/>
      <c r="B615" s="23"/>
      <c r="C615" s="23"/>
    </row>
    <row r="616">
      <c r="A616" s="30"/>
      <c r="B616" s="23"/>
      <c r="C616" s="23"/>
    </row>
    <row r="617">
      <c r="A617" s="30"/>
      <c r="B617" s="23"/>
      <c r="C617" s="23"/>
    </row>
    <row r="618">
      <c r="A618" s="30"/>
      <c r="B618" s="23"/>
      <c r="C618" s="23"/>
    </row>
    <row r="619">
      <c r="A619" s="30"/>
      <c r="B619" s="23"/>
      <c r="C619" s="23"/>
    </row>
    <row r="620">
      <c r="A620" s="30"/>
      <c r="B620" s="23"/>
      <c r="C620" s="23"/>
    </row>
    <row r="621">
      <c r="A621" s="30"/>
      <c r="B621" s="23"/>
      <c r="C621" s="23"/>
    </row>
    <row r="622">
      <c r="A622" s="30"/>
      <c r="B622" s="23"/>
      <c r="C622" s="23"/>
    </row>
    <row r="623">
      <c r="A623" s="30"/>
      <c r="B623" s="23"/>
      <c r="C623" s="23"/>
    </row>
    <row r="624">
      <c r="A624" s="30"/>
      <c r="B624" s="23"/>
      <c r="C624" s="23"/>
    </row>
    <row r="625">
      <c r="A625" s="30"/>
      <c r="B625" s="23"/>
      <c r="C625" s="23"/>
    </row>
    <row r="626">
      <c r="A626" s="30"/>
      <c r="B626" s="23"/>
      <c r="C626" s="23"/>
    </row>
    <row r="627">
      <c r="A627" s="30"/>
      <c r="B627" s="23"/>
      <c r="C627" s="23"/>
    </row>
    <row r="628">
      <c r="A628" s="30"/>
      <c r="B628" s="23"/>
      <c r="C628" s="23"/>
    </row>
    <row r="629">
      <c r="A629" s="30"/>
      <c r="B629" s="23"/>
      <c r="C629" s="23"/>
    </row>
    <row r="630">
      <c r="A630" s="30"/>
      <c r="B630" s="23"/>
      <c r="C630" s="23"/>
    </row>
    <row r="631">
      <c r="A631" s="30"/>
      <c r="B631" s="23"/>
      <c r="C631" s="23"/>
    </row>
    <row r="632">
      <c r="A632" s="30"/>
      <c r="B632" s="23"/>
      <c r="C632" s="23"/>
    </row>
    <row r="633">
      <c r="A633" s="30"/>
      <c r="B633" s="23"/>
      <c r="C633" s="23"/>
    </row>
    <row r="634">
      <c r="A634" s="30"/>
      <c r="B634" s="23"/>
      <c r="C634" s="23"/>
    </row>
    <row r="635">
      <c r="A635" s="30"/>
      <c r="B635" s="23"/>
      <c r="C635" s="23"/>
    </row>
    <row r="636">
      <c r="A636" s="30"/>
      <c r="B636" s="23"/>
      <c r="C636" s="23"/>
    </row>
    <row r="637">
      <c r="A637" s="30"/>
      <c r="B637" s="23"/>
      <c r="C637" s="23"/>
    </row>
    <row r="638">
      <c r="A638" s="30"/>
      <c r="B638" s="23"/>
      <c r="C638" s="23"/>
    </row>
    <row r="639">
      <c r="A639" s="30"/>
      <c r="B639" s="23"/>
      <c r="C639" s="23"/>
    </row>
    <row r="640">
      <c r="A640" s="30"/>
      <c r="B640" s="23"/>
      <c r="C640" s="23"/>
    </row>
    <row r="641">
      <c r="A641" s="30"/>
      <c r="B641" s="23"/>
      <c r="C641" s="23"/>
    </row>
    <row r="642">
      <c r="A642" s="30"/>
      <c r="B642" s="23"/>
      <c r="C642" s="23"/>
    </row>
    <row r="643">
      <c r="A643" s="30"/>
      <c r="B643" s="23"/>
      <c r="C643" s="23"/>
    </row>
    <row r="644">
      <c r="A644" s="30"/>
      <c r="B644" s="23"/>
      <c r="C644" s="23"/>
    </row>
    <row r="645">
      <c r="A645" s="30"/>
      <c r="B645" s="23"/>
      <c r="C645" s="23"/>
    </row>
    <row r="646">
      <c r="A646" s="30"/>
      <c r="B646" s="23"/>
      <c r="C646" s="23"/>
    </row>
    <row r="647">
      <c r="A647" s="30"/>
      <c r="B647" s="23"/>
      <c r="C647" s="23"/>
    </row>
    <row r="648">
      <c r="A648" s="30"/>
      <c r="B648" s="23"/>
      <c r="C648" s="23"/>
    </row>
    <row r="649">
      <c r="A649" s="30"/>
      <c r="B649" s="23"/>
      <c r="C649" s="23"/>
    </row>
    <row r="650">
      <c r="A650" s="30"/>
      <c r="B650" s="23"/>
      <c r="C650" s="23"/>
    </row>
    <row r="651">
      <c r="A651" s="30"/>
      <c r="B651" s="23"/>
      <c r="C651" s="23"/>
    </row>
    <row r="652">
      <c r="A652" s="30"/>
      <c r="B652" s="23"/>
      <c r="C652" s="23"/>
    </row>
    <row r="653">
      <c r="A653" s="30"/>
      <c r="B653" s="23"/>
      <c r="C653" s="23"/>
    </row>
    <row r="654">
      <c r="A654" s="30"/>
      <c r="B654" s="23"/>
      <c r="C654" s="23"/>
    </row>
    <row r="655">
      <c r="A655" s="30"/>
      <c r="B655" s="23"/>
      <c r="C655" s="23"/>
    </row>
    <row r="656">
      <c r="A656" s="30"/>
      <c r="B656" s="23"/>
      <c r="C656" s="23"/>
    </row>
    <row r="657">
      <c r="A657" s="30"/>
      <c r="B657" s="23"/>
      <c r="C657" s="23"/>
    </row>
    <row r="658">
      <c r="A658" s="30"/>
      <c r="B658" s="23"/>
      <c r="C658" s="23"/>
    </row>
    <row r="659">
      <c r="A659" s="30"/>
      <c r="B659" s="23"/>
      <c r="C659" s="23"/>
    </row>
    <row r="660">
      <c r="A660" s="30"/>
      <c r="B660" s="23"/>
      <c r="C660" s="23"/>
    </row>
    <row r="661">
      <c r="A661" s="30"/>
      <c r="B661" s="23"/>
      <c r="C661" s="23"/>
    </row>
    <row r="662">
      <c r="A662" s="30"/>
      <c r="B662" s="23"/>
      <c r="C662" s="23"/>
    </row>
    <row r="663">
      <c r="A663" s="30"/>
      <c r="B663" s="23"/>
      <c r="C663" s="23"/>
    </row>
    <row r="664">
      <c r="A664" s="30"/>
      <c r="B664" s="23"/>
      <c r="C664" s="23"/>
    </row>
    <row r="665">
      <c r="A665" s="30"/>
      <c r="B665" s="23"/>
      <c r="C665" s="23"/>
    </row>
    <row r="666">
      <c r="A666" s="30"/>
      <c r="B666" s="23"/>
      <c r="C666" s="23"/>
    </row>
    <row r="667">
      <c r="A667" s="30"/>
      <c r="B667" s="23"/>
      <c r="C667" s="23"/>
    </row>
    <row r="668">
      <c r="A668" s="30"/>
      <c r="B668" s="23"/>
      <c r="C668" s="23"/>
    </row>
    <row r="669">
      <c r="A669" s="30"/>
      <c r="B669" s="23"/>
      <c r="C669" s="23"/>
    </row>
    <row r="670">
      <c r="A670" s="30"/>
      <c r="B670" s="23"/>
      <c r="C670" s="23"/>
    </row>
    <row r="671">
      <c r="A671" s="30"/>
      <c r="B671" s="23"/>
      <c r="C671" s="23"/>
    </row>
    <row r="672">
      <c r="A672" s="30"/>
      <c r="B672" s="23"/>
      <c r="C672" s="23"/>
    </row>
    <row r="673">
      <c r="A673" s="30"/>
      <c r="B673" s="23"/>
      <c r="C673" s="23"/>
    </row>
    <row r="674">
      <c r="A674" s="30"/>
      <c r="B674" s="23"/>
      <c r="C674" s="23"/>
    </row>
    <row r="675">
      <c r="A675" s="30"/>
      <c r="B675" s="23"/>
      <c r="C675" s="23"/>
    </row>
    <row r="676">
      <c r="A676" s="30"/>
      <c r="B676" s="23"/>
      <c r="C676" s="23"/>
    </row>
    <row r="677">
      <c r="A677" s="30"/>
      <c r="B677" s="23"/>
      <c r="C677" s="23"/>
    </row>
    <row r="678">
      <c r="A678" s="30"/>
      <c r="B678" s="23"/>
      <c r="C678" s="23"/>
    </row>
    <row r="679">
      <c r="A679" s="30"/>
      <c r="B679" s="23"/>
      <c r="C679" s="23"/>
    </row>
    <row r="680">
      <c r="A680" s="30"/>
      <c r="B680" s="23"/>
      <c r="C680" s="23"/>
    </row>
    <row r="681">
      <c r="A681" s="30"/>
      <c r="B681" s="23"/>
      <c r="C681" s="23"/>
    </row>
    <row r="682">
      <c r="A682" s="30"/>
      <c r="B682" s="23"/>
      <c r="C682" s="23"/>
    </row>
    <row r="683">
      <c r="A683" s="30"/>
      <c r="B683" s="23"/>
      <c r="C683" s="23"/>
    </row>
    <row r="684">
      <c r="A684" s="30"/>
      <c r="B684" s="23"/>
      <c r="C684" s="23"/>
    </row>
    <row r="685">
      <c r="A685" s="30"/>
      <c r="B685" s="23"/>
      <c r="C685" s="23"/>
    </row>
    <row r="686">
      <c r="A686" s="30"/>
      <c r="B686" s="23"/>
      <c r="C686" s="23"/>
    </row>
    <row r="687">
      <c r="A687" s="30"/>
      <c r="B687" s="23"/>
      <c r="C687" s="23"/>
    </row>
    <row r="688">
      <c r="A688" s="30"/>
      <c r="B688" s="23"/>
      <c r="C688" s="23"/>
    </row>
    <row r="689">
      <c r="A689" s="30"/>
      <c r="B689" s="23"/>
      <c r="C689" s="23"/>
    </row>
    <row r="690">
      <c r="A690" s="30"/>
      <c r="B690" s="23"/>
      <c r="C690" s="23"/>
    </row>
    <row r="691">
      <c r="A691" s="30"/>
      <c r="B691" s="23"/>
      <c r="C691" s="23"/>
    </row>
    <row r="692">
      <c r="A692" s="30"/>
      <c r="B692" s="23"/>
      <c r="C692" s="23"/>
    </row>
    <row r="693">
      <c r="A693" s="30"/>
      <c r="B693" s="23"/>
      <c r="C693" s="23"/>
    </row>
    <row r="694">
      <c r="A694" s="30"/>
      <c r="B694" s="23"/>
      <c r="C694" s="23"/>
    </row>
    <row r="695">
      <c r="A695" s="30"/>
      <c r="B695" s="23"/>
      <c r="C695" s="23"/>
    </row>
    <row r="696">
      <c r="A696" s="30"/>
      <c r="B696" s="23"/>
      <c r="C696" s="23"/>
    </row>
    <row r="697">
      <c r="A697" s="30"/>
      <c r="B697" s="23"/>
      <c r="C697" s="23"/>
    </row>
    <row r="698">
      <c r="A698" s="30"/>
      <c r="B698" s="23"/>
      <c r="C698" s="23"/>
    </row>
    <row r="699">
      <c r="A699" s="30"/>
      <c r="B699" s="23"/>
      <c r="C699" s="23"/>
    </row>
    <row r="700">
      <c r="A700" s="30"/>
      <c r="B700" s="23"/>
      <c r="C700" s="23"/>
    </row>
    <row r="701">
      <c r="A701" s="30"/>
      <c r="B701" s="23"/>
      <c r="C701" s="23"/>
    </row>
    <row r="702">
      <c r="A702" s="30"/>
      <c r="B702" s="23"/>
      <c r="C702" s="23"/>
    </row>
    <row r="703">
      <c r="A703" s="30"/>
      <c r="B703" s="23"/>
      <c r="C703" s="23"/>
    </row>
    <row r="704">
      <c r="A704" s="30"/>
      <c r="B704" s="23"/>
      <c r="C704" s="23"/>
    </row>
    <row r="705">
      <c r="A705" s="30"/>
      <c r="B705" s="23"/>
      <c r="C705" s="23"/>
    </row>
    <row r="706">
      <c r="A706" s="30"/>
      <c r="B706" s="23"/>
      <c r="C706" s="23"/>
    </row>
    <row r="707">
      <c r="A707" s="30"/>
      <c r="B707" s="23"/>
      <c r="C707" s="23"/>
    </row>
    <row r="708">
      <c r="A708" s="30"/>
      <c r="B708" s="23"/>
      <c r="C708" s="23"/>
    </row>
    <row r="709">
      <c r="A709" s="30"/>
      <c r="B709" s="23"/>
      <c r="C709" s="23"/>
    </row>
    <row r="710">
      <c r="A710" s="30"/>
      <c r="B710" s="23"/>
      <c r="C710" s="23"/>
    </row>
    <row r="711">
      <c r="A711" s="30"/>
      <c r="B711" s="23"/>
      <c r="C711" s="23"/>
    </row>
    <row r="712">
      <c r="A712" s="30"/>
      <c r="B712" s="23"/>
      <c r="C712" s="23"/>
    </row>
    <row r="713">
      <c r="A713" s="30"/>
      <c r="B713" s="23"/>
      <c r="C713" s="23"/>
    </row>
    <row r="714">
      <c r="A714" s="30"/>
      <c r="B714" s="23"/>
      <c r="C714" s="23"/>
    </row>
    <row r="715">
      <c r="A715" s="30"/>
      <c r="B715" s="23"/>
      <c r="C715" s="23"/>
    </row>
    <row r="716">
      <c r="A716" s="30"/>
      <c r="B716" s="23"/>
      <c r="C716" s="23"/>
    </row>
    <row r="717">
      <c r="A717" s="30"/>
      <c r="B717" s="23"/>
      <c r="C717" s="23"/>
    </row>
    <row r="718">
      <c r="A718" s="30"/>
      <c r="B718" s="23"/>
      <c r="C718" s="23"/>
    </row>
    <row r="719">
      <c r="A719" s="30"/>
      <c r="B719" s="23"/>
      <c r="C719" s="23"/>
    </row>
    <row r="720">
      <c r="A720" s="30"/>
      <c r="B720" s="23"/>
      <c r="C720" s="23"/>
    </row>
    <row r="721">
      <c r="A721" s="30"/>
      <c r="B721" s="23"/>
      <c r="C721" s="23"/>
    </row>
    <row r="722">
      <c r="A722" s="30"/>
      <c r="B722" s="23"/>
      <c r="C722" s="23"/>
    </row>
    <row r="723">
      <c r="A723" s="30"/>
      <c r="B723" s="23"/>
      <c r="C723" s="23"/>
    </row>
    <row r="724">
      <c r="A724" s="30"/>
      <c r="B724" s="23"/>
      <c r="C724" s="23"/>
    </row>
    <row r="725">
      <c r="A725" s="30"/>
      <c r="B725" s="23"/>
      <c r="C725" s="23"/>
    </row>
    <row r="726">
      <c r="A726" s="30"/>
      <c r="B726" s="23"/>
      <c r="C726" s="23"/>
    </row>
    <row r="727">
      <c r="A727" s="30"/>
      <c r="B727" s="23"/>
      <c r="C727" s="23"/>
    </row>
    <row r="728">
      <c r="A728" s="30"/>
      <c r="B728" s="23"/>
      <c r="C728" s="23"/>
    </row>
    <row r="729">
      <c r="A729" s="30"/>
      <c r="B729" s="23"/>
      <c r="C729" s="23"/>
    </row>
    <row r="730">
      <c r="A730" s="30"/>
      <c r="B730" s="23"/>
      <c r="C730" s="23"/>
    </row>
    <row r="731">
      <c r="A731" s="30"/>
      <c r="B731" s="23"/>
      <c r="C731" s="23"/>
    </row>
    <row r="732">
      <c r="A732" s="30"/>
      <c r="B732" s="23"/>
      <c r="C732" s="23"/>
    </row>
    <row r="733">
      <c r="A733" s="30"/>
      <c r="B733" s="23"/>
      <c r="C733" s="23"/>
    </row>
    <row r="734">
      <c r="A734" s="30"/>
      <c r="B734" s="23"/>
      <c r="C734" s="23"/>
    </row>
    <row r="735">
      <c r="A735" s="30"/>
      <c r="B735" s="23"/>
      <c r="C735" s="23"/>
    </row>
    <row r="736">
      <c r="A736" s="30"/>
      <c r="B736" s="23"/>
      <c r="C736" s="23"/>
    </row>
    <row r="737">
      <c r="A737" s="30"/>
      <c r="B737" s="23"/>
      <c r="C737" s="23"/>
    </row>
    <row r="738">
      <c r="A738" s="30"/>
      <c r="B738" s="23"/>
      <c r="C738" s="23"/>
    </row>
    <row r="739">
      <c r="A739" s="30"/>
      <c r="B739" s="23"/>
      <c r="C739" s="23"/>
    </row>
    <row r="740">
      <c r="A740" s="30"/>
      <c r="B740" s="23"/>
      <c r="C740" s="23"/>
    </row>
    <row r="741">
      <c r="A741" s="30"/>
      <c r="B741" s="23"/>
      <c r="C741" s="23"/>
    </row>
    <row r="742">
      <c r="A742" s="30"/>
      <c r="B742" s="23"/>
      <c r="C742" s="23"/>
    </row>
    <row r="743">
      <c r="A743" s="30"/>
      <c r="B743" s="23"/>
      <c r="C743" s="23"/>
    </row>
    <row r="744">
      <c r="A744" s="30"/>
      <c r="B744" s="23"/>
      <c r="C744" s="23"/>
    </row>
    <row r="745">
      <c r="A745" s="30"/>
      <c r="B745" s="23"/>
      <c r="C745" s="23"/>
    </row>
    <row r="746">
      <c r="A746" s="30"/>
      <c r="B746" s="23"/>
      <c r="C746" s="23"/>
    </row>
    <row r="747">
      <c r="A747" s="30"/>
      <c r="B747" s="23"/>
      <c r="C747" s="23"/>
    </row>
    <row r="748">
      <c r="A748" s="30"/>
      <c r="B748" s="23"/>
      <c r="C748" s="23"/>
    </row>
    <row r="749">
      <c r="A749" s="30"/>
      <c r="B749" s="23"/>
      <c r="C749" s="23"/>
    </row>
    <row r="750">
      <c r="A750" s="30"/>
      <c r="B750" s="23"/>
      <c r="C750" s="23"/>
    </row>
    <row r="751">
      <c r="A751" s="30"/>
      <c r="B751" s="23"/>
      <c r="C751" s="23"/>
    </row>
    <row r="752">
      <c r="A752" s="30"/>
      <c r="B752" s="23"/>
      <c r="C752" s="23"/>
    </row>
    <row r="753">
      <c r="A753" s="30"/>
      <c r="B753" s="23"/>
      <c r="C753" s="23"/>
    </row>
    <row r="754">
      <c r="A754" s="30"/>
      <c r="B754" s="23"/>
      <c r="C754" s="23"/>
    </row>
    <row r="755">
      <c r="A755" s="30"/>
      <c r="B755" s="23"/>
      <c r="C755" s="23"/>
    </row>
    <row r="756">
      <c r="A756" s="30"/>
      <c r="B756" s="23"/>
      <c r="C756" s="23"/>
    </row>
    <row r="757">
      <c r="A757" s="30"/>
      <c r="B757" s="23"/>
      <c r="C757" s="23"/>
    </row>
    <row r="758">
      <c r="A758" s="30"/>
      <c r="B758" s="23"/>
      <c r="C758" s="23"/>
    </row>
    <row r="759">
      <c r="A759" s="30"/>
      <c r="B759" s="23"/>
      <c r="C759" s="23"/>
    </row>
    <row r="760">
      <c r="A760" s="30"/>
      <c r="B760" s="23"/>
      <c r="C760" s="23"/>
    </row>
    <row r="761">
      <c r="A761" s="30"/>
      <c r="B761" s="23"/>
      <c r="C761" s="23"/>
    </row>
    <row r="762">
      <c r="A762" s="30"/>
      <c r="B762" s="23"/>
      <c r="C762" s="23"/>
    </row>
    <row r="763">
      <c r="A763" s="30"/>
      <c r="B763" s="23"/>
      <c r="C763" s="23"/>
    </row>
    <row r="764">
      <c r="A764" s="30"/>
      <c r="B764" s="23"/>
      <c r="C764" s="23"/>
    </row>
    <row r="765">
      <c r="A765" s="30"/>
      <c r="B765" s="23"/>
      <c r="C765" s="23"/>
    </row>
    <row r="766">
      <c r="A766" s="30"/>
      <c r="B766" s="23"/>
      <c r="C766" s="23"/>
    </row>
    <row r="767">
      <c r="A767" s="30"/>
      <c r="B767" s="23"/>
      <c r="C767" s="23"/>
    </row>
    <row r="768">
      <c r="A768" s="30"/>
      <c r="B768" s="23"/>
      <c r="C768" s="23"/>
    </row>
    <row r="769">
      <c r="A769" s="30"/>
      <c r="B769" s="23"/>
      <c r="C769" s="23"/>
    </row>
    <row r="770">
      <c r="A770" s="30"/>
      <c r="B770" s="23"/>
      <c r="C770" s="23"/>
    </row>
    <row r="771">
      <c r="A771" s="30"/>
      <c r="B771" s="23"/>
      <c r="C771" s="23"/>
    </row>
    <row r="772">
      <c r="A772" s="30"/>
      <c r="B772" s="23"/>
      <c r="C772" s="23"/>
    </row>
    <row r="773">
      <c r="A773" s="30"/>
      <c r="B773" s="23"/>
      <c r="C773" s="23"/>
    </row>
    <row r="774">
      <c r="A774" s="30"/>
      <c r="B774" s="23"/>
      <c r="C774" s="23"/>
    </row>
    <row r="775">
      <c r="A775" s="30"/>
      <c r="B775" s="23"/>
      <c r="C775" s="23"/>
    </row>
    <row r="776">
      <c r="A776" s="30"/>
      <c r="B776" s="23"/>
      <c r="C776" s="23"/>
    </row>
    <row r="777">
      <c r="A777" s="30"/>
      <c r="B777" s="23"/>
      <c r="C777" s="23"/>
    </row>
    <row r="778">
      <c r="A778" s="30"/>
      <c r="B778" s="23"/>
      <c r="C778" s="23"/>
    </row>
    <row r="779">
      <c r="A779" s="30"/>
      <c r="B779" s="23"/>
      <c r="C779" s="23"/>
    </row>
    <row r="780">
      <c r="A780" s="30"/>
      <c r="B780" s="23"/>
      <c r="C780" s="23"/>
    </row>
    <row r="781">
      <c r="A781" s="30"/>
      <c r="B781" s="23"/>
      <c r="C781" s="23"/>
    </row>
    <row r="782">
      <c r="A782" s="30"/>
      <c r="B782" s="23"/>
      <c r="C782" s="23"/>
    </row>
    <row r="783">
      <c r="A783" s="30"/>
      <c r="B783" s="23"/>
      <c r="C783" s="23"/>
    </row>
    <row r="784">
      <c r="A784" s="30"/>
      <c r="B784" s="23"/>
      <c r="C784" s="23"/>
    </row>
    <row r="785">
      <c r="A785" s="30"/>
      <c r="B785" s="23"/>
      <c r="C785" s="23"/>
    </row>
    <row r="786">
      <c r="A786" s="30"/>
      <c r="B786" s="23"/>
      <c r="C786" s="23"/>
    </row>
    <row r="787">
      <c r="A787" s="30"/>
      <c r="B787" s="23"/>
      <c r="C787" s="23"/>
    </row>
    <row r="788">
      <c r="A788" s="30"/>
      <c r="B788" s="23"/>
      <c r="C788" s="23"/>
    </row>
    <row r="789">
      <c r="A789" s="30"/>
      <c r="B789" s="23"/>
      <c r="C789" s="23"/>
    </row>
    <row r="790">
      <c r="A790" s="30"/>
      <c r="B790" s="23"/>
      <c r="C790" s="23"/>
    </row>
    <row r="791">
      <c r="A791" s="30"/>
      <c r="B791" s="23"/>
      <c r="C791" s="23"/>
    </row>
    <row r="792">
      <c r="A792" s="30"/>
      <c r="B792" s="23"/>
      <c r="C792" s="23"/>
    </row>
    <row r="793">
      <c r="A793" s="30"/>
      <c r="B793" s="23"/>
      <c r="C793" s="23"/>
    </row>
    <row r="794">
      <c r="A794" s="30"/>
      <c r="B794" s="23"/>
      <c r="C794" s="23"/>
    </row>
    <row r="795">
      <c r="A795" s="30"/>
      <c r="B795" s="23"/>
      <c r="C795" s="23"/>
    </row>
    <row r="796">
      <c r="A796" s="30"/>
      <c r="B796" s="23"/>
      <c r="C796" s="23"/>
    </row>
    <row r="797">
      <c r="A797" s="30"/>
      <c r="B797" s="23"/>
      <c r="C797" s="23"/>
    </row>
    <row r="798">
      <c r="A798" s="30"/>
      <c r="B798" s="23"/>
      <c r="C798" s="23"/>
    </row>
    <row r="799">
      <c r="A799" s="30"/>
      <c r="B799" s="23"/>
      <c r="C799" s="23"/>
    </row>
    <row r="800">
      <c r="A800" s="30"/>
      <c r="B800" s="23"/>
      <c r="C800" s="23"/>
    </row>
    <row r="801">
      <c r="A801" s="30"/>
      <c r="B801" s="23"/>
      <c r="C801" s="23"/>
    </row>
    <row r="802">
      <c r="A802" s="30"/>
      <c r="B802" s="23"/>
      <c r="C802" s="23"/>
    </row>
    <row r="803">
      <c r="A803" s="30"/>
      <c r="B803" s="23"/>
      <c r="C803" s="23"/>
    </row>
    <row r="804">
      <c r="A804" s="30"/>
      <c r="B804" s="23"/>
      <c r="C804" s="23"/>
    </row>
    <row r="805">
      <c r="A805" s="30"/>
      <c r="B805" s="23"/>
      <c r="C805" s="23"/>
    </row>
    <row r="806">
      <c r="A806" s="30"/>
      <c r="B806" s="23"/>
      <c r="C806" s="23"/>
    </row>
    <row r="807">
      <c r="A807" s="30"/>
      <c r="B807" s="23"/>
      <c r="C807" s="23"/>
    </row>
    <row r="808">
      <c r="A808" s="30"/>
      <c r="B808" s="23"/>
      <c r="C808" s="23"/>
    </row>
    <row r="809">
      <c r="A809" s="30"/>
      <c r="B809" s="23"/>
      <c r="C809" s="23"/>
    </row>
    <row r="810">
      <c r="A810" s="30"/>
      <c r="B810" s="23"/>
      <c r="C810" s="23"/>
    </row>
    <row r="811">
      <c r="A811" s="30"/>
      <c r="B811" s="23"/>
      <c r="C811" s="23"/>
    </row>
    <row r="812">
      <c r="A812" s="30"/>
      <c r="B812" s="23"/>
      <c r="C812" s="23"/>
    </row>
    <row r="813">
      <c r="A813" s="30"/>
      <c r="B813" s="23"/>
      <c r="C813" s="23"/>
    </row>
    <row r="814">
      <c r="A814" s="30"/>
      <c r="B814" s="23"/>
      <c r="C814" s="23"/>
    </row>
    <row r="815">
      <c r="A815" s="30"/>
      <c r="B815" s="23"/>
      <c r="C815" s="23"/>
    </row>
    <row r="816">
      <c r="A816" s="30"/>
      <c r="B816" s="23"/>
      <c r="C816" s="23"/>
    </row>
    <row r="817">
      <c r="A817" s="30"/>
      <c r="B817" s="23"/>
      <c r="C817" s="23"/>
    </row>
    <row r="818">
      <c r="A818" s="30"/>
      <c r="B818" s="23"/>
      <c r="C818" s="23"/>
    </row>
    <row r="819">
      <c r="A819" s="30"/>
      <c r="B819" s="23"/>
      <c r="C819" s="23"/>
    </row>
    <row r="820">
      <c r="A820" s="30"/>
      <c r="B820" s="23"/>
      <c r="C820" s="23"/>
    </row>
    <row r="821">
      <c r="A821" s="30"/>
      <c r="B821" s="23"/>
      <c r="C821" s="23"/>
    </row>
    <row r="822">
      <c r="A822" s="30"/>
      <c r="B822" s="23"/>
      <c r="C822" s="23"/>
    </row>
    <row r="823">
      <c r="A823" s="30"/>
      <c r="B823" s="23"/>
      <c r="C823" s="23"/>
    </row>
    <row r="824">
      <c r="A824" s="30"/>
      <c r="B824" s="23"/>
      <c r="C824" s="23"/>
    </row>
    <row r="825">
      <c r="A825" s="30"/>
      <c r="B825" s="23"/>
      <c r="C825" s="23"/>
    </row>
    <row r="826">
      <c r="A826" s="30"/>
      <c r="B826" s="23"/>
      <c r="C826" s="23"/>
    </row>
    <row r="827">
      <c r="A827" s="30"/>
      <c r="B827" s="23"/>
      <c r="C827" s="23"/>
    </row>
    <row r="828">
      <c r="A828" s="30"/>
      <c r="B828" s="23"/>
      <c r="C828" s="23"/>
    </row>
    <row r="829">
      <c r="A829" s="30"/>
      <c r="B829" s="23"/>
      <c r="C829" s="23"/>
    </row>
    <row r="830">
      <c r="A830" s="30"/>
      <c r="B830" s="23"/>
      <c r="C830" s="23"/>
    </row>
    <row r="831">
      <c r="A831" s="30"/>
      <c r="B831" s="23"/>
      <c r="C831" s="23"/>
    </row>
    <row r="832">
      <c r="A832" s="30"/>
      <c r="B832" s="23"/>
      <c r="C832" s="23"/>
    </row>
    <row r="833">
      <c r="A833" s="30"/>
      <c r="B833" s="23"/>
      <c r="C833" s="23"/>
    </row>
    <row r="834">
      <c r="A834" s="30"/>
      <c r="B834" s="23"/>
      <c r="C834" s="23"/>
    </row>
    <row r="835">
      <c r="A835" s="30"/>
      <c r="B835" s="23"/>
      <c r="C835" s="23"/>
    </row>
    <row r="836">
      <c r="A836" s="30"/>
      <c r="B836" s="23"/>
      <c r="C836" s="23"/>
    </row>
    <row r="837">
      <c r="A837" s="30"/>
      <c r="B837" s="23"/>
      <c r="C837" s="23"/>
    </row>
    <row r="838">
      <c r="A838" s="30"/>
      <c r="B838" s="23"/>
      <c r="C838" s="23"/>
    </row>
    <row r="839">
      <c r="A839" s="30"/>
      <c r="B839" s="23"/>
      <c r="C839" s="23"/>
    </row>
    <row r="840">
      <c r="A840" s="30"/>
      <c r="B840" s="23"/>
      <c r="C840" s="23"/>
    </row>
    <row r="841">
      <c r="A841" s="30"/>
      <c r="B841" s="23"/>
      <c r="C841" s="23"/>
    </row>
    <row r="842">
      <c r="A842" s="30"/>
      <c r="B842" s="23"/>
      <c r="C842" s="23"/>
    </row>
    <row r="843">
      <c r="A843" s="30"/>
      <c r="B843" s="23"/>
      <c r="C843" s="23"/>
    </row>
    <row r="844">
      <c r="A844" s="30"/>
      <c r="B844" s="23"/>
      <c r="C844" s="23"/>
    </row>
    <row r="845">
      <c r="A845" s="30"/>
      <c r="B845" s="23"/>
      <c r="C845" s="23"/>
    </row>
    <row r="846">
      <c r="A846" s="30"/>
      <c r="B846" s="23"/>
      <c r="C846" s="23"/>
    </row>
    <row r="847">
      <c r="A847" s="30"/>
      <c r="B847" s="23"/>
      <c r="C847" s="23"/>
    </row>
    <row r="848">
      <c r="A848" s="30"/>
      <c r="B848" s="23"/>
      <c r="C848" s="23"/>
    </row>
    <row r="849">
      <c r="A849" s="30"/>
      <c r="B849" s="23"/>
      <c r="C849" s="23"/>
    </row>
    <row r="850">
      <c r="A850" s="30"/>
      <c r="B850" s="23"/>
      <c r="C850" s="23"/>
    </row>
    <row r="851">
      <c r="A851" s="30"/>
      <c r="B851" s="23"/>
      <c r="C851" s="23"/>
    </row>
    <row r="852">
      <c r="A852" s="30"/>
      <c r="B852" s="23"/>
      <c r="C852" s="23"/>
    </row>
    <row r="853">
      <c r="A853" s="30"/>
      <c r="B853" s="23"/>
      <c r="C853" s="23"/>
    </row>
    <row r="854">
      <c r="A854" s="30"/>
      <c r="B854" s="23"/>
      <c r="C854" s="23"/>
    </row>
    <row r="855">
      <c r="A855" s="30"/>
      <c r="B855" s="23"/>
      <c r="C855" s="23"/>
    </row>
    <row r="856">
      <c r="A856" s="30"/>
      <c r="B856" s="23"/>
      <c r="C856" s="23"/>
    </row>
    <row r="857">
      <c r="A857" s="30"/>
      <c r="B857" s="23"/>
      <c r="C857" s="23"/>
    </row>
    <row r="858">
      <c r="A858" s="30"/>
      <c r="B858" s="23"/>
      <c r="C858" s="23"/>
    </row>
    <row r="859">
      <c r="A859" s="30"/>
      <c r="B859" s="23"/>
      <c r="C859" s="23"/>
    </row>
    <row r="860">
      <c r="A860" s="30"/>
      <c r="B860" s="23"/>
      <c r="C860" s="23"/>
    </row>
    <row r="861">
      <c r="A861" s="30"/>
      <c r="B861" s="23"/>
      <c r="C861" s="23"/>
    </row>
    <row r="862">
      <c r="A862" s="30"/>
      <c r="B862" s="23"/>
      <c r="C862" s="23"/>
    </row>
    <row r="863">
      <c r="A863" s="30"/>
      <c r="B863" s="23"/>
      <c r="C863" s="23"/>
    </row>
    <row r="864">
      <c r="A864" s="30"/>
      <c r="B864" s="23"/>
      <c r="C864" s="23"/>
    </row>
    <row r="865">
      <c r="A865" s="30"/>
      <c r="B865" s="23"/>
      <c r="C865" s="23"/>
    </row>
    <row r="866">
      <c r="A866" s="30"/>
      <c r="B866" s="23"/>
      <c r="C866" s="23"/>
    </row>
    <row r="867">
      <c r="A867" s="30"/>
      <c r="B867" s="23"/>
      <c r="C867" s="23"/>
    </row>
    <row r="868">
      <c r="A868" s="30"/>
      <c r="B868" s="23"/>
      <c r="C868" s="23"/>
    </row>
    <row r="869">
      <c r="A869" s="30"/>
      <c r="B869" s="23"/>
      <c r="C869" s="23"/>
    </row>
    <row r="870">
      <c r="A870" s="30"/>
      <c r="B870" s="23"/>
      <c r="C870" s="23"/>
    </row>
    <row r="871">
      <c r="A871" s="30"/>
      <c r="B871" s="23"/>
      <c r="C871" s="23"/>
    </row>
    <row r="872">
      <c r="A872" s="30"/>
      <c r="B872" s="23"/>
      <c r="C872" s="23"/>
    </row>
    <row r="873">
      <c r="A873" s="30"/>
      <c r="B873" s="23"/>
      <c r="C873" s="23"/>
    </row>
    <row r="874">
      <c r="A874" s="30"/>
      <c r="B874" s="23"/>
      <c r="C874" s="23"/>
    </row>
    <row r="875">
      <c r="A875" s="30"/>
      <c r="B875" s="23"/>
      <c r="C875" s="23"/>
    </row>
    <row r="876">
      <c r="A876" s="30"/>
      <c r="B876" s="23"/>
      <c r="C876" s="23"/>
    </row>
    <row r="877">
      <c r="A877" s="30"/>
      <c r="B877" s="23"/>
      <c r="C877" s="23"/>
    </row>
    <row r="878">
      <c r="A878" s="30"/>
      <c r="B878" s="23"/>
      <c r="C878" s="23"/>
    </row>
    <row r="879">
      <c r="A879" s="30"/>
      <c r="B879" s="23"/>
      <c r="C879" s="23"/>
    </row>
    <row r="880">
      <c r="A880" s="30"/>
      <c r="B880" s="23"/>
      <c r="C880" s="23"/>
    </row>
    <row r="881">
      <c r="A881" s="30"/>
      <c r="B881" s="23"/>
      <c r="C881" s="23"/>
    </row>
    <row r="882">
      <c r="A882" s="30"/>
      <c r="B882" s="23"/>
      <c r="C882" s="23"/>
    </row>
    <row r="883">
      <c r="A883" s="30"/>
      <c r="B883" s="23"/>
      <c r="C883" s="23"/>
    </row>
    <row r="884">
      <c r="A884" s="30"/>
      <c r="B884" s="23"/>
      <c r="C884" s="23"/>
    </row>
    <row r="885">
      <c r="A885" s="30"/>
      <c r="B885" s="23"/>
      <c r="C885" s="23"/>
    </row>
    <row r="886">
      <c r="A886" s="30"/>
      <c r="B886" s="23"/>
      <c r="C886" s="23"/>
    </row>
    <row r="887">
      <c r="A887" s="30"/>
      <c r="B887" s="23"/>
      <c r="C887" s="23"/>
    </row>
    <row r="888">
      <c r="A888" s="30"/>
      <c r="B888" s="23"/>
      <c r="C888" s="23"/>
    </row>
    <row r="889">
      <c r="A889" s="30"/>
      <c r="B889" s="23"/>
      <c r="C889" s="23"/>
    </row>
    <row r="890">
      <c r="A890" s="30"/>
      <c r="B890" s="23"/>
      <c r="C890" s="23"/>
    </row>
    <row r="891">
      <c r="A891" s="30"/>
      <c r="B891" s="23"/>
      <c r="C891" s="23"/>
    </row>
    <row r="892">
      <c r="A892" s="30"/>
      <c r="B892" s="23"/>
      <c r="C892" s="23"/>
    </row>
    <row r="893">
      <c r="A893" s="30"/>
      <c r="B893" s="23"/>
      <c r="C893" s="23"/>
    </row>
    <row r="894">
      <c r="A894" s="30"/>
      <c r="B894" s="23"/>
      <c r="C894" s="23"/>
    </row>
    <row r="895">
      <c r="A895" s="30"/>
      <c r="B895" s="23"/>
      <c r="C895" s="23"/>
    </row>
    <row r="896">
      <c r="A896" s="30"/>
      <c r="B896" s="23"/>
      <c r="C896" s="23"/>
    </row>
    <row r="897">
      <c r="A897" s="30"/>
      <c r="B897" s="23"/>
      <c r="C897" s="23"/>
    </row>
    <row r="898">
      <c r="A898" s="30"/>
      <c r="B898" s="23"/>
      <c r="C898" s="23"/>
    </row>
    <row r="899">
      <c r="A899" s="30"/>
      <c r="B899" s="23"/>
      <c r="C899" s="23"/>
    </row>
    <row r="900">
      <c r="A900" s="30"/>
      <c r="B900" s="23"/>
      <c r="C900" s="23"/>
    </row>
    <row r="901">
      <c r="A901" s="30"/>
      <c r="B901" s="23"/>
      <c r="C901" s="23"/>
    </row>
    <row r="902">
      <c r="A902" s="30"/>
      <c r="B902" s="23"/>
      <c r="C902" s="23"/>
    </row>
    <row r="903">
      <c r="A903" s="30"/>
      <c r="B903" s="23"/>
      <c r="C903" s="23"/>
    </row>
    <row r="904">
      <c r="A904" s="30"/>
      <c r="B904" s="23"/>
      <c r="C904" s="23"/>
    </row>
    <row r="905">
      <c r="A905" s="30"/>
      <c r="B905" s="23"/>
      <c r="C905" s="23"/>
    </row>
    <row r="906">
      <c r="A906" s="30"/>
      <c r="B906" s="23"/>
      <c r="C906" s="23"/>
    </row>
    <row r="907">
      <c r="A907" s="30"/>
      <c r="B907" s="23"/>
      <c r="C907" s="23"/>
    </row>
    <row r="908">
      <c r="A908" s="30"/>
      <c r="B908" s="23"/>
      <c r="C908" s="23"/>
    </row>
    <row r="909">
      <c r="A909" s="30"/>
      <c r="B909" s="23"/>
      <c r="C909" s="23"/>
    </row>
    <row r="910">
      <c r="A910" s="30"/>
      <c r="B910" s="23"/>
      <c r="C910" s="23"/>
    </row>
    <row r="911">
      <c r="A911" s="30"/>
      <c r="B911" s="23"/>
      <c r="C911" s="23"/>
    </row>
    <row r="912">
      <c r="A912" s="30"/>
      <c r="B912" s="23"/>
      <c r="C912" s="23"/>
    </row>
    <row r="913">
      <c r="A913" s="30"/>
      <c r="B913" s="23"/>
      <c r="C913" s="23"/>
    </row>
    <row r="914">
      <c r="A914" s="30"/>
      <c r="B914" s="23"/>
      <c r="C914" s="23"/>
    </row>
    <row r="915">
      <c r="A915" s="30"/>
      <c r="B915" s="23"/>
      <c r="C915" s="23"/>
    </row>
    <row r="916">
      <c r="A916" s="30"/>
      <c r="B916" s="23"/>
      <c r="C916" s="23"/>
    </row>
    <row r="917">
      <c r="A917" s="30"/>
      <c r="B917" s="23"/>
      <c r="C917" s="23"/>
    </row>
    <row r="918">
      <c r="A918" s="30"/>
      <c r="B918" s="23"/>
      <c r="C918" s="23"/>
    </row>
    <row r="919">
      <c r="A919" s="30"/>
      <c r="B919" s="23"/>
      <c r="C919" s="23"/>
    </row>
    <row r="920">
      <c r="A920" s="30"/>
      <c r="B920" s="23"/>
      <c r="C920" s="23"/>
    </row>
    <row r="921">
      <c r="A921" s="30"/>
      <c r="B921" s="23"/>
      <c r="C921" s="23"/>
    </row>
    <row r="922">
      <c r="A922" s="30"/>
      <c r="B922" s="23"/>
      <c r="C922" s="23"/>
    </row>
    <row r="923">
      <c r="A923" s="30"/>
      <c r="B923" s="23"/>
      <c r="C923" s="23"/>
    </row>
    <row r="924">
      <c r="A924" s="30"/>
      <c r="B924" s="23"/>
      <c r="C924" s="23"/>
    </row>
    <row r="925">
      <c r="A925" s="30"/>
      <c r="B925" s="23"/>
      <c r="C925" s="23"/>
    </row>
    <row r="926">
      <c r="A926" s="30"/>
      <c r="B926" s="23"/>
      <c r="C926" s="23"/>
    </row>
    <row r="927">
      <c r="A927" s="30"/>
      <c r="B927" s="23"/>
      <c r="C927" s="23"/>
    </row>
    <row r="928">
      <c r="A928" s="30"/>
      <c r="B928" s="23"/>
      <c r="C928" s="23"/>
    </row>
    <row r="929">
      <c r="A929" s="30"/>
      <c r="B929" s="23"/>
      <c r="C929" s="23"/>
    </row>
    <row r="930">
      <c r="A930" s="30"/>
      <c r="B930" s="23"/>
      <c r="C930" s="23"/>
    </row>
    <row r="931">
      <c r="A931" s="30"/>
      <c r="B931" s="23"/>
      <c r="C931" s="23"/>
    </row>
    <row r="932">
      <c r="A932" s="30"/>
      <c r="B932" s="23"/>
      <c r="C932" s="23"/>
    </row>
    <row r="933">
      <c r="A933" s="30"/>
      <c r="B933" s="23"/>
      <c r="C933" s="23"/>
    </row>
    <row r="934">
      <c r="A934" s="30"/>
      <c r="B934" s="23"/>
      <c r="C934" s="23"/>
    </row>
    <row r="935">
      <c r="A935" s="30"/>
      <c r="B935" s="23"/>
      <c r="C935" s="23"/>
    </row>
    <row r="936">
      <c r="A936" s="30"/>
      <c r="B936" s="23"/>
      <c r="C936" s="23"/>
    </row>
    <row r="937">
      <c r="A937" s="30"/>
      <c r="B937" s="23"/>
      <c r="C937" s="23"/>
    </row>
    <row r="938">
      <c r="A938" s="30"/>
      <c r="B938" s="23"/>
      <c r="C938" s="23"/>
    </row>
    <row r="939">
      <c r="A939" s="30"/>
      <c r="B939" s="23"/>
      <c r="C939" s="23"/>
    </row>
    <row r="940">
      <c r="A940" s="30"/>
      <c r="B940" s="23"/>
      <c r="C940" s="23"/>
    </row>
    <row r="941">
      <c r="A941" s="30"/>
      <c r="B941" s="23"/>
      <c r="C941" s="23"/>
    </row>
    <row r="942">
      <c r="A942" s="30"/>
      <c r="B942" s="23"/>
      <c r="C942" s="23"/>
    </row>
    <row r="943">
      <c r="A943" s="30"/>
      <c r="B943" s="23"/>
      <c r="C943" s="23"/>
    </row>
    <row r="944">
      <c r="A944" s="30"/>
      <c r="B944" s="23"/>
      <c r="C944" s="23"/>
    </row>
    <row r="945">
      <c r="A945" s="30"/>
      <c r="B945" s="23"/>
      <c r="C945" s="23"/>
    </row>
    <row r="946">
      <c r="A946" s="30"/>
      <c r="B946" s="23"/>
      <c r="C946" s="23"/>
    </row>
    <row r="947">
      <c r="A947" s="30"/>
      <c r="B947" s="23"/>
      <c r="C947" s="23"/>
    </row>
    <row r="948">
      <c r="A948" s="30"/>
      <c r="B948" s="23"/>
      <c r="C948" s="23"/>
    </row>
    <row r="949">
      <c r="A949" s="30"/>
      <c r="B949" s="23"/>
      <c r="C949" s="23"/>
    </row>
    <row r="950">
      <c r="A950" s="30"/>
      <c r="B950" s="23"/>
      <c r="C950" s="23"/>
    </row>
    <row r="951">
      <c r="A951" s="30"/>
      <c r="B951" s="23"/>
      <c r="C951" s="23"/>
    </row>
    <row r="952">
      <c r="A952" s="30"/>
      <c r="B952" s="23"/>
      <c r="C952" s="23"/>
    </row>
    <row r="953">
      <c r="A953" s="30"/>
      <c r="B953" s="23"/>
      <c r="C953" s="23"/>
    </row>
    <row r="954">
      <c r="A954" s="30"/>
      <c r="B954" s="23"/>
      <c r="C954" s="23"/>
    </row>
    <row r="955">
      <c r="A955" s="30"/>
      <c r="B955" s="23"/>
      <c r="C955" s="23"/>
    </row>
    <row r="956">
      <c r="A956" s="30"/>
      <c r="B956" s="23"/>
      <c r="C956" s="23"/>
    </row>
    <row r="957">
      <c r="A957" s="30"/>
      <c r="B957" s="23"/>
      <c r="C957" s="23"/>
    </row>
    <row r="958">
      <c r="A958" s="30"/>
      <c r="B958" s="23"/>
      <c r="C958" s="23"/>
    </row>
    <row r="959">
      <c r="A959" s="30"/>
      <c r="B959" s="23"/>
      <c r="C959" s="23"/>
    </row>
    <row r="960">
      <c r="A960" s="30"/>
      <c r="B960" s="23"/>
      <c r="C960" s="23"/>
    </row>
    <row r="961">
      <c r="A961" s="30"/>
      <c r="B961" s="23"/>
      <c r="C961" s="23"/>
    </row>
    <row r="962">
      <c r="A962" s="30"/>
      <c r="B962" s="23"/>
      <c r="C962" s="23"/>
    </row>
    <row r="963">
      <c r="A963" s="30"/>
      <c r="B963" s="23"/>
      <c r="C963" s="23"/>
    </row>
    <row r="964">
      <c r="A964" s="30"/>
      <c r="B964" s="23"/>
      <c r="C964" s="23"/>
    </row>
    <row r="965">
      <c r="A965" s="30"/>
      <c r="B965" s="23"/>
      <c r="C965" s="23"/>
    </row>
    <row r="966">
      <c r="A966" s="30"/>
      <c r="B966" s="23"/>
      <c r="C966" s="23"/>
    </row>
    <row r="967">
      <c r="A967" s="30"/>
      <c r="B967" s="23"/>
      <c r="C967" s="23"/>
    </row>
    <row r="968">
      <c r="A968" s="30"/>
      <c r="B968" s="23"/>
      <c r="C968" s="23"/>
    </row>
    <row r="969">
      <c r="A969" s="30"/>
      <c r="B969" s="23"/>
      <c r="C969" s="23"/>
    </row>
    <row r="970">
      <c r="A970" s="30"/>
      <c r="B970" s="23"/>
      <c r="C970" s="23"/>
    </row>
    <row r="971">
      <c r="A971" s="30"/>
      <c r="B971" s="23"/>
      <c r="C971" s="23"/>
    </row>
    <row r="972">
      <c r="A972" s="30"/>
      <c r="B972" s="23"/>
      <c r="C972" s="23"/>
    </row>
    <row r="973">
      <c r="A973" s="30"/>
      <c r="B973" s="23"/>
      <c r="C973" s="23"/>
    </row>
    <row r="974">
      <c r="A974" s="30"/>
      <c r="B974" s="23"/>
      <c r="C974" s="23"/>
    </row>
    <row r="975">
      <c r="A975" s="30"/>
      <c r="B975" s="23"/>
      <c r="C975" s="23"/>
    </row>
    <row r="976">
      <c r="A976" s="30"/>
      <c r="B976" s="23"/>
      <c r="C976" s="23"/>
    </row>
    <row r="977">
      <c r="A977" s="30"/>
      <c r="B977" s="23"/>
      <c r="C977" s="23"/>
    </row>
    <row r="978">
      <c r="A978" s="30"/>
      <c r="B978" s="23"/>
      <c r="C978" s="23"/>
    </row>
    <row r="979">
      <c r="A979" s="30"/>
      <c r="B979" s="23"/>
      <c r="C979" s="23"/>
    </row>
    <row r="980">
      <c r="A980" s="30"/>
      <c r="B980" s="23"/>
      <c r="C980" s="23"/>
    </row>
    <row r="981">
      <c r="A981" s="30"/>
      <c r="B981" s="23"/>
      <c r="C981" s="23"/>
    </row>
    <row r="982">
      <c r="A982" s="30"/>
      <c r="B982" s="23"/>
      <c r="C982" s="23"/>
    </row>
    <row r="983">
      <c r="A983" s="30"/>
      <c r="B983" s="23"/>
      <c r="C983" s="23"/>
    </row>
    <row r="984">
      <c r="A984" s="30"/>
      <c r="B984" s="23"/>
      <c r="C984" s="23"/>
    </row>
    <row r="985">
      <c r="A985" s="30"/>
      <c r="B985" s="23"/>
      <c r="C985" s="23"/>
    </row>
    <row r="986">
      <c r="A986" s="30"/>
      <c r="B986" s="23"/>
      <c r="C986" s="23"/>
    </row>
    <row r="987">
      <c r="A987" s="30"/>
      <c r="B987" s="23"/>
      <c r="C987" s="23"/>
    </row>
    <row r="988">
      <c r="A988" s="30"/>
      <c r="B988" s="23"/>
      <c r="C988" s="23"/>
    </row>
    <row r="989">
      <c r="A989" s="30"/>
      <c r="B989" s="23"/>
      <c r="C989" s="23"/>
    </row>
    <row r="990">
      <c r="A990" s="30"/>
      <c r="B990" s="23"/>
      <c r="C990" s="23"/>
    </row>
    <row r="991">
      <c r="A991" s="30"/>
      <c r="B991" s="23"/>
      <c r="C991" s="23"/>
    </row>
    <row r="992">
      <c r="A992" s="30"/>
      <c r="B992" s="23"/>
      <c r="C992" s="23"/>
    </row>
    <row r="993">
      <c r="A993" s="30"/>
      <c r="B993" s="23"/>
      <c r="C993" s="23"/>
    </row>
    <row r="994">
      <c r="A994" s="30"/>
      <c r="B994" s="23"/>
      <c r="C994" s="23"/>
    </row>
    <row r="995">
      <c r="A995" s="30"/>
      <c r="B995" s="23"/>
      <c r="C995" s="23"/>
    </row>
    <row r="996">
      <c r="A996" s="30"/>
      <c r="B996" s="23"/>
      <c r="C996" s="23"/>
    </row>
    <row r="997">
      <c r="A997" s="30"/>
      <c r="B997" s="23"/>
      <c r="C997" s="23"/>
    </row>
    <row r="998">
      <c r="A998" s="30"/>
      <c r="B998" s="23"/>
      <c r="C998" s="23"/>
    </row>
    <row r="999">
      <c r="A999" s="30"/>
      <c r="B999" s="23"/>
      <c r="C999" s="23"/>
    </row>
    <row r="1000">
      <c r="A1000" s="30"/>
      <c r="B1000" s="23"/>
      <c r="C1000" s="23"/>
    </row>
  </sheetData>
  <hyperlinks>
    <hyperlink r:id="rId1" ref="B1"/>
    <hyperlink r:id="rId2" ref="C1"/>
    <hyperlink r:id="rId3" ref="D1"/>
    <hyperlink r:id="rId4" ref="E1"/>
    <hyperlink r:id="rId5" ref="I1"/>
    <hyperlink r:id="rId6" ref="J1"/>
  </hyperlinks>
  <drawing r:id="rId7"/>
  <tableParts count="2">
    <tablePart r:id="rId10"/>
    <tablePart r:id="rId1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5" max="5" width="23.13"/>
  </cols>
  <sheetData>
    <row r="1">
      <c r="A1" s="29" t="s">
        <v>0</v>
      </c>
      <c r="B1" s="43" t="s">
        <v>1</v>
      </c>
      <c r="C1" s="43" t="s">
        <v>2</v>
      </c>
      <c r="D1" s="19"/>
      <c r="E1" s="44"/>
      <c r="F1" s="43" t="s">
        <v>1</v>
      </c>
      <c r="G1" s="43" t="s">
        <v>2</v>
      </c>
    </row>
    <row r="2">
      <c r="A2" s="32">
        <v>46048.0</v>
      </c>
      <c r="B2" s="34">
        <v>-0.030538783093358224</v>
      </c>
      <c r="C2" s="34">
        <v>0.016399351234456683</v>
      </c>
      <c r="D2" s="20"/>
      <c r="E2" s="45" t="s">
        <v>19</v>
      </c>
      <c r="F2" s="46">
        <f t="shared" ref="F2:G2" si="1">AVERAGE(B2:B52)</f>
        <v>-0.002794805997</v>
      </c>
      <c r="G2" s="46">
        <f t="shared" si="1"/>
        <v>0.001430450845</v>
      </c>
    </row>
    <row r="3">
      <c r="A3" s="32">
        <v>46041.0</v>
      </c>
      <c r="B3" s="34">
        <v>-0.021363636363636362</v>
      </c>
      <c r="C3" s="34">
        <v>-0.0019784172661870825</v>
      </c>
      <c r="E3" s="45" t="s">
        <v>20</v>
      </c>
      <c r="F3" s="47">
        <f t="shared" ref="F3:G3" si="2">AVEDEV(B2:B52)*51/50</f>
        <v>0.037265264</v>
      </c>
      <c r="G3" s="47">
        <f t="shared" si="2"/>
        <v>0.02896458518</v>
      </c>
    </row>
    <row r="4">
      <c r="A4" s="32">
        <v>46034.0</v>
      </c>
      <c r="B4" s="34">
        <v>-0.016320143080706395</v>
      </c>
      <c r="C4" s="34">
        <v>-0.04038660683465645</v>
      </c>
      <c r="E4" s="45" t="s">
        <v>21</v>
      </c>
      <c r="F4" s="47">
        <f t="shared" ref="F4:G4" si="3">_xlfn.VAR.S(B2:B52)</f>
        <v>0.002065500713</v>
      </c>
      <c r="G4" s="47">
        <f t="shared" si="3"/>
        <v>0.00177218022</v>
      </c>
    </row>
    <row r="5">
      <c r="A5" s="32">
        <v>46027.0</v>
      </c>
      <c r="B5" s="34">
        <v>-0.016815034619188984</v>
      </c>
      <c r="C5" s="34">
        <v>0.03603039785426909</v>
      </c>
      <c r="E5" s="45" t="s">
        <v>22</v>
      </c>
      <c r="F5" s="48">
        <f t="shared" ref="F5:G5" si="4">_xlfn.STDEV.S(B2:B52)</f>
        <v>0.04544778006</v>
      </c>
      <c r="G5" s="49">
        <f t="shared" si="4"/>
        <v>0.04209727094</v>
      </c>
    </row>
    <row r="6">
      <c r="A6" s="32">
        <v>46020.0</v>
      </c>
      <c r="B6" s="34">
        <v>-0.03683709114004452</v>
      </c>
      <c r="C6" s="34">
        <v>-0.015058119056005737</v>
      </c>
      <c r="E6" s="50" t="s">
        <v>30</v>
      </c>
      <c r="F6" s="51">
        <f t="shared" ref="F6:G6" si="5">F5/F2</f>
        <v>-16.26151515</v>
      </c>
      <c r="G6" s="51">
        <f t="shared" si="5"/>
        <v>29.42937263</v>
      </c>
    </row>
    <row r="7">
      <c r="A7" s="32">
        <v>46013.0</v>
      </c>
      <c r="B7" s="34">
        <v>8.475474096831803E-4</v>
      </c>
      <c r="C7" s="34">
        <v>0.02778531993845612</v>
      </c>
    </row>
    <row r="8">
      <c r="A8" s="32">
        <v>46006.0</v>
      </c>
      <c r="B8" s="34">
        <v>-0.008404244143292328</v>
      </c>
      <c r="C8" s="34">
        <v>-0.0032476319350474014</v>
      </c>
      <c r="E8" s="50" t="s">
        <v>50</v>
      </c>
      <c r="F8" s="63">
        <f>(F2-F10)/F5</f>
        <v>-0.0782512249</v>
      </c>
      <c r="G8" s="63">
        <f>(G2-F10)/G5</f>
        <v>0.0158896852</v>
      </c>
    </row>
    <row r="9">
      <c r="A9" s="32">
        <v>45999.0</v>
      </c>
      <c r="B9" s="34">
        <v>-0.05037909018355946</v>
      </c>
      <c r="C9" s="34">
        <v>0.05985275838990334</v>
      </c>
    </row>
    <row r="10">
      <c r="A10" s="32">
        <v>45992.0</v>
      </c>
      <c r="B10" s="34">
        <v>-0.06822829522216034</v>
      </c>
      <c r="C10" s="34">
        <v>0.007902091163149327</v>
      </c>
      <c r="E10" s="64" t="s">
        <v>51</v>
      </c>
      <c r="F10" s="65">
        <f>0.0396/52</f>
        <v>0.0007615384615</v>
      </c>
    </row>
    <row r="11">
      <c r="A11" s="32">
        <v>45985.0</v>
      </c>
      <c r="B11" s="34">
        <v>0.0313488639631867</v>
      </c>
      <c r="C11" s="34">
        <v>0.0018343309519210926</v>
      </c>
    </row>
    <row r="12">
      <c r="A12" s="32">
        <v>45978.0</v>
      </c>
      <c r="B12" s="34">
        <v>-0.06212911346880057</v>
      </c>
      <c r="C12" s="34">
        <v>-0.014368636406889346</v>
      </c>
      <c r="E12" s="13" t="s">
        <v>52</v>
      </c>
    </row>
    <row r="13">
      <c r="A13" s="32">
        <v>45971.0</v>
      </c>
      <c r="B13" s="34">
        <v>0.007701368125396346</v>
      </c>
      <c r="C13" s="34">
        <v>-0.044636363636363585</v>
      </c>
      <c r="E13" s="13" t="s">
        <v>53</v>
      </c>
    </row>
    <row r="14">
      <c r="A14" s="32">
        <v>45964.0</v>
      </c>
      <c r="B14" s="34">
        <v>-0.013584770756993492</v>
      </c>
      <c r="C14" s="34">
        <v>-0.016627927766851403</v>
      </c>
      <c r="E14" s="13" t="s">
        <v>54</v>
      </c>
    </row>
    <row r="15">
      <c r="A15" s="32">
        <v>45957.0</v>
      </c>
      <c r="B15" s="34">
        <v>0.022106513199963373</v>
      </c>
      <c r="C15" s="34">
        <v>0.008383665374560367</v>
      </c>
    </row>
    <row r="16">
      <c r="A16" s="32">
        <v>45950.0</v>
      </c>
      <c r="B16" s="34">
        <v>-0.08729364682341167</v>
      </c>
      <c r="C16" s="34">
        <v>0.009096697898662853</v>
      </c>
    </row>
    <row r="17">
      <c r="A17" s="32">
        <v>45943.0</v>
      </c>
      <c r="B17" s="34">
        <v>-0.016965822473567815</v>
      </c>
      <c r="C17" s="34">
        <v>0.013553383735939617</v>
      </c>
    </row>
    <row r="18">
      <c r="A18" s="32">
        <v>45936.0</v>
      </c>
      <c r="B18" s="34">
        <v>0.05792074915459988</v>
      </c>
      <c r="C18" s="34">
        <v>-0.02909318771819891</v>
      </c>
    </row>
    <row r="19">
      <c r="A19" s="32">
        <v>45929.0</v>
      </c>
      <c r="B19" s="34">
        <v>-0.0473319015364283</v>
      </c>
      <c r="C19" s="34">
        <v>-0.00887232721142761</v>
      </c>
    </row>
    <row r="20">
      <c r="A20" s="32">
        <v>45922.0</v>
      </c>
      <c r="B20" s="34">
        <v>-0.013365933170334188</v>
      </c>
      <c r="C20" s="34">
        <v>-0.0025663716814159354</v>
      </c>
    </row>
    <row r="21">
      <c r="A21" s="32">
        <v>45915.0</v>
      </c>
      <c r="B21" s="34">
        <v>0.03248064624705482</v>
      </c>
      <c r="C21" s="34">
        <v>-0.01892689703073458</v>
      </c>
    </row>
    <row r="22">
      <c r="A22" s="32">
        <v>45908.0</v>
      </c>
      <c r="B22" s="34">
        <v>-0.04454092297797063</v>
      </c>
      <c r="C22" s="34">
        <v>-0.01656420765027322</v>
      </c>
    </row>
    <row r="23">
      <c r="A23" s="32">
        <v>45901.0</v>
      </c>
      <c r="B23" s="34">
        <v>0.029465320311206744</v>
      </c>
      <c r="C23" s="34">
        <v>-0.003912229971083425</v>
      </c>
    </row>
    <row r="24">
      <c r="A24" s="32">
        <v>45894.0</v>
      </c>
      <c r="B24" s="34">
        <v>0.002988543914992592</v>
      </c>
      <c r="C24" s="34">
        <v>-0.004065729290191444</v>
      </c>
    </row>
    <row r="25">
      <c r="A25" s="32">
        <v>45887.0</v>
      </c>
      <c r="B25" s="34">
        <v>-0.027685850351118035</v>
      </c>
      <c r="C25" s="34">
        <v>0.030102085332867956</v>
      </c>
    </row>
    <row r="26">
      <c r="A26" s="32">
        <v>45880.0</v>
      </c>
      <c r="B26" s="34">
        <v>0.022532188841201783</v>
      </c>
      <c r="C26" s="34">
        <v>0.02632757231127436</v>
      </c>
    </row>
    <row r="27">
      <c r="A27" s="32">
        <v>45873.0</v>
      </c>
      <c r="B27" s="34">
        <v>0.045744864491627846</v>
      </c>
      <c r="C27" s="34">
        <v>-0.03574820827216996</v>
      </c>
    </row>
    <row r="28">
      <c r="A28" s="32">
        <v>45866.0</v>
      </c>
      <c r="B28" s="34">
        <v>-0.0185514612452351</v>
      </c>
      <c r="C28" s="34">
        <v>-0.04011603812681308</v>
      </c>
    </row>
    <row r="29">
      <c r="A29" s="32">
        <v>45859.0</v>
      </c>
      <c r="B29" s="34">
        <v>-0.023734700628514793</v>
      </c>
      <c r="C29" s="34">
        <v>4.145936981758691E-4</v>
      </c>
    </row>
    <row r="30">
      <c r="A30" s="32">
        <v>45852.0</v>
      </c>
      <c r="B30" s="34">
        <v>-0.028833025459802486</v>
      </c>
      <c r="C30" s="34">
        <v>0.012934654795901057</v>
      </c>
    </row>
    <row r="31">
      <c r="A31" s="32">
        <v>45845.0</v>
      </c>
      <c r="B31" s="34">
        <v>-0.04016342892383595</v>
      </c>
      <c r="C31" s="34">
        <v>-0.03336851506048555</v>
      </c>
    </row>
    <row r="32">
      <c r="A32" s="32">
        <v>45838.0</v>
      </c>
      <c r="B32" s="34">
        <v>-0.019575239966744817</v>
      </c>
      <c r="C32" s="34">
        <v>0.01793388429752074</v>
      </c>
    </row>
    <row r="33">
      <c r="A33" s="32">
        <v>45831.0</v>
      </c>
      <c r="B33" s="34">
        <v>0.07446808510638303</v>
      </c>
      <c r="C33" s="34">
        <v>0.04005501117414467</v>
      </c>
    </row>
    <row r="34">
      <c r="A34" s="32">
        <v>45824.0</v>
      </c>
      <c r="B34" s="34">
        <v>0.015922778648626457</v>
      </c>
      <c r="C34" s="34">
        <v>-0.0026575225032147154</v>
      </c>
    </row>
    <row r="35">
      <c r="A35" s="32">
        <v>45817.0</v>
      </c>
      <c r="B35" s="34">
        <v>-0.023681031010874043</v>
      </c>
      <c r="C35" s="34">
        <v>0.03550821127385717</v>
      </c>
    </row>
    <row r="36">
      <c r="A36" s="32">
        <v>45810.0</v>
      </c>
      <c r="B36" s="34">
        <v>0.028412856196156522</v>
      </c>
      <c r="C36" s="34">
        <v>0.007602862254025178</v>
      </c>
    </row>
    <row r="37">
      <c r="A37" s="42">
        <v>45803.0</v>
      </c>
      <c r="B37" s="34">
        <v>0.018390416736966397</v>
      </c>
      <c r="C37" s="34">
        <v>0.030224843346848607</v>
      </c>
    </row>
    <row r="38">
      <c r="A38" s="42">
        <v>45796.0</v>
      </c>
      <c r="B38" s="34">
        <v>-0.005119597146454047</v>
      </c>
      <c r="C38" s="34">
        <v>-0.03262613656623292</v>
      </c>
    </row>
    <row r="39">
      <c r="A39" s="42">
        <v>45789.0</v>
      </c>
      <c r="B39" s="34">
        <v>0.04499210664795661</v>
      </c>
      <c r="C39" s="34">
        <v>0.07062416491696899</v>
      </c>
    </row>
    <row r="40">
      <c r="A40" s="42">
        <v>45782.0</v>
      </c>
      <c r="B40" s="34">
        <v>-0.014094249891915323</v>
      </c>
      <c r="C40" s="34">
        <v>0.14538696982947097</v>
      </c>
    </row>
    <row r="41">
      <c r="A41" s="32">
        <v>45775.0</v>
      </c>
      <c r="B41" s="34">
        <v>0.049931911030413056</v>
      </c>
      <c r="C41" s="34">
        <v>0.02452682271250972</v>
      </c>
    </row>
    <row r="42">
      <c r="A42" s="32">
        <v>45768.0</v>
      </c>
      <c r="B42" s="34">
        <v>0.13206577595066804</v>
      </c>
      <c r="C42" s="34">
        <v>0.06449690033381028</v>
      </c>
    </row>
    <row r="43">
      <c r="A43" s="32">
        <v>45761.0</v>
      </c>
      <c r="B43" s="34">
        <v>0.05956659043885448</v>
      </c>
      <c r="C43" s="34">
        <v>-9.52834683182413E-4</v>
      </c>
    </row>
    <row r="44">
      <c r="A44" s="32">
        <v>45754.0</v>
      </c>
      <c r="B44" s="34">
        <v>0.0729057132842621</v>
      </c>
      <c r="C44" s="34">
        <v>0.016218833212297223</v>
      </c>
    </row>
    <row r="45">
      <c r="A45" s="32">
        <v>45747.0</v>
      </c>
      <c r="B45" s="34">
        <v>-0.08352071956312235</v>
      </c>
      <c r="C45" s="34">
        <v>-0.14824742268041236</v>
      </c>
    </row>
    <row r="46">
      <c r="A46" s="32">
        <v>45740.0</v>
      </c>
      <c r="B46" s="34">
        <v>-0.027491408934707917</v>
      </c>
      <c r="C46" s="34">
        <v>-0.013927010267357987</v>
      </c>
    </row>
    <row r="47">
      <c r="A47" s="32">
        <v>45733.0</v>
      </c>
      <c r="B47" s="34">
        <v>0.04607843137254908</v>
      </c>
      <c r="C47" s="34">
        <v>0.008302583025830312</v>
      </c>
    </row>
    <row r="48">
      <c r="A48" s="32">
        <v>45726.0</v>
      </c>
      <c r="B48" s="34">
        <v>0.030187408820558925</v>
      </c>
      <c r="C48" s="34">
        <v>-0.06515906477577615</v>
      </c>
    </row>
    <row r="49">
      <c r="A49" s="32">
        <v>45719.0</v>
      </c>
      <c r="B49" s="34">
        <v>-0.09127065062206818</v>
      </c>
      <c r="C49" s="34">
        <v>-0.07285003553660274</v>
      </c>
    </row>
    <row r="50">
      <c r="A50" s="32">
        <v>45712.0</v>
      </c>
      <c r="B50" s="34">
        <v>-0.022527910685805286</v>
      </c>
      <c r="C50" s="34">
        <v>0.04736205452684472</v>
      </c>
    </row>
    <row r="51">
      <c r="A51" s="32">
        <v>45705.0</v>
      </c>
      <c r="B51" s="34">
        <v>-0.05233327035707547</v>
      </c>
      <c r="C51" s="34">
        <v>-0.015572043601722152</v>
      </c>
    </row>
    <row r="52">
      <c r="A52" s="32">
        <v>45698.0</v>
      </c>
      <c r="B52" s="34">
        <v>0.04408718808560996</v>
      </c>
      <c r="C52" s="34">
        <v>-0.004377564979480164</v>
      </c>
    </row>
    <row r="53">
      <c r="A53" s="32"/>
      <c r="B53" s="28"/>
      <c r="C53" s="23"/>
    </row>
    <row r="54">
      <c r="A54" s="32"/>
      <c r="B54" s="23"/>
      <c r="C54" s="23"/>
    </row>
    <row r="55">
      <c r="A55" s="30"/>
      <c r="B55" s="23"/>
      <c r="C55" s="23"/>
    </row>
    <row r="56">
      <c r="A56" s="30"/>
      <c r="B56" s="23"/>
      <c r="C56" s="23"/>
    </row>
    <row r="57">
      <c r="A57" s="30"/>
      <c r="B57" s="23"/>
      <c r="C57" s="23"/>
    </row>
    <row r="58">
      <c r="A58" s="30"/>
      <c r="B58" s="23"/>
      <c r="C58" s="23"/>
    </row>
    <row r="59">
      <c r="A59" s="30"/>
      <c r="B59" s="23"/>
      <c r="C59" s="23"/>
    </row>
    <row r="60">
      <c r="A60" s="30"/>
      <c r="B60" s="23"/>
      <c r="C60" s="23"/>
    </row>
    <row r="61">
      <c r="A61" s="30"/>
      <c r="B61" s="23"/>
      <c r="C61" s="23"/>
    </row>
    <row r="62">
      <c r="A62" s="30"/>
      <c r="B62" s="23"/>
      <c r="C62" s="23"/>
    </row>
    <row r="63">
      <c r="A63" s="30"/>
      <c r="B63" s="23"/>
      <c r="C63" s="23"/>
    </row>
    <row r="64">
      <c r="A64" s="30"/>
      <c r="B64" s="23"/>
      <c r="C64" s="23"/>
    </row>
    <row r="65">
      <c r="A65" s="30"/>
      <c r="B65" s="23"/>
      <c r="C65" s="23"/>
    </row>
    <row r="66">
      <c r="A66" s="30"/>
      <c r="B66" s="23"/>
      <c r="C66" s="23"/>
    </row>
    <row r="67">
      <c r="A67" s="30"/>
      <c r="B67" s="23"/>
      <c r="C67" s="23"/>
    </row>
    <row r="68">
      <c r="A68" s="30"/>
      <c r="B68" s="23"/>
      <c r="C68" s="23"/>
    </row>
    <row r="69">
      <c r="A69" s="30"/>
      <c r="B69" s="23"/>
      <c r="C69" s="23"/>
    </row>
    <row r="70">
      <c r="A70" s="30"/>
      <c r="B70" s="23"/>
      <c r="C70" s="23"/>
    </row>
    <row r="71">
      <c r="A71" s="30"/>
      <c r="B71" s="23"/>
      <c r="C71" s="23"/>
    </row>
    <row r="72">
      <c r="A72" s="30"/>
      <c r="B72" s="23"/>
      <c r="C72" s="23"/>
    </row>
    <row r="73">
      <c r="A73" s="30"/>
      <c r="B73" s="23"/>
      <c r="C73" s="23"/>
    </row>
    <row r="74">
      <c r="A74" s="30"/>
      <c r="B74" s="23"/>
      <c r="C74" s="23"/>
    </row>
    <row r="75">
      <c r="A75" s="30"/>
      <c r="B75" s="23"/>
      <c r="C75" s="23"/>
    </row>
    <row r="76">
      <c r="A76" s="30"/>
      <c r="B76" s="23"/>
      <c r="C76" s="23"/>
    </row>
    <row r="77">
      <c r="A77" s="30"/>
      <c r="B77" s="23"/>
      <c r="C77" s="23"/>
    </row>
    <row r="78">
      <c r="A78" s="30"/>
      <c r="B78" s="23"/>
      <c r="C78" s="23"/>
    </row>
    <row r="79">
      <c r="A79" s="30"/>
      <c r="B79" s="23"/>
      <c r="C79" s="23"/>
    </row>
    <row r="80">
      <c r="A80" s="30"/>
      <c r="B80" s="23"/>
      <c r="C80" s="23"/>
    </row>
    <row r="81">
      <c r="A81" s="30"/>
      <c r="B81" s="23"/>
      <c r="C81" s="23"/>
    </row>
    <row r="82">
      <c r="A82" s="30"/>
      <c r="B82" s="23"/>
      <c r="C82" s="23"/>
    </row>
    <row r="83">
      <c r="A83" s="30"/>
      <c r="B83" s="23"/>
      <c r="C83" s="23"/>
    </row>
    <row r="84">
      <c r="A84" s="30"/>
      <c r="B84" s="23"/>
      <c r="C84" s="23"/>
    </row>
    <row r="85">
      <c r="A85" s="30"/>
      <c r="B85" s="23"/>
      <c r="C85" s="23"/>
    </row>
    <row r="86">
      <c r="A86" s="30"/>
      <c r="B86" s="23"/>
      <c r="C86" s="23"/>
    </row>
    <row r="87">
      <c r="A87" s="30"/>
      <c r="B87" s="23"/>
      <c r="C87" s="23"/>
    </row>
    <row r="88">
      <c r="A88" s="30"/>
      <c r="B88" s="23"/>
      <c r="C88" s="23"/>
    </row>
    <row r="89">
      <c r="A89" s="30"/>
      <c r="B89" s="23"/>
      <c r="C89" s="23"/>
    </row>
    <row r="90">
      <c r="A90" s="30"/>
      <c r="B90" s="23"/>
      <c r="C90" s="23"/>
    </row>
    <row r="91">
      <c r="A91" s="30"/>
      <c r="B91" s="23"/>
      <c r="C91" s="23"/>
    </row>
    <row r="92">
      <c r="A92" s="30"/>
      <c r="B92" s="23"/>
      <c r="C92" s="23"/>
    </row>
    <row r="93">
      <c r="A93" s="30"/>
      <c r="B93" s="23"/>
      <c r="C93" s="23"/>
    </row>
    <row r="94">
      <c r="A94" s="30"/>
      <c r="B94" s="23"/>
      <c r="C94" s="23"/>
    </row>
    <row r="95">
      <c r="A95" s="30"/>
      <c r="B95" s="23"/>
      <c r="C95" s="23"/>
    </row>
    <row r="96">
      <c r="A96" s="30"/>
      <c r="B96" s="23"/>
      <c r="C96" s="23"/>
    </row>
    <row r="97">
      <c r="A97" s="30"/>
      <c r="B97" s="23"/>
      <c r="C97" s="23"/>
    </row>
    <row r="98">
      <c r="A98" s="30"/>
      <c r="B98" s="23"/>
      <c r="C98" s="23"/>
    </row>
    <row r="99">
      <c r="A99" s="30"/>
      <c r="B99" s="23"/>
      <c r="C99" s="23"/>
    </row>
    <row r="100">
      <c r="A100" s="30"/>
      <c r="B100" s="23"/>
      <c r="C100" s="23"/>
    </row>
    <row r="101">
      <c r="A101" s="30"/>
      <c r="B101" s="23"/>
      <c r="C101" s="23"/>
    </row>
    <row r="102">
      <c r="A102" s="30"/>
      <c r="B102" s="23"/>
      <c r="C102" s="23"/>
    </row>
    <row r="103">
      <c r="A103" s="30"/>
      <c r="B103" s="23"/>
      <c r="C103" s="23"/>
    </row>
    <row r="104">
      <c r="A104" s="30"/>
      <c r="B104" s="23"/>
      <c r="C104" s="23"/>
    </row>
    <row r="105">
      <c r="A105" s="30"/>
      <c r="B105" s="23"/>
      <c r="C105" s="23"/>
    </row>
    <row r="106">
      <c r="A106" s="30"/>
      <c r="B106" s="23"/>
      <c r="C106" s="23"/>
    </row>
    <row r="107">
      <c r="A107" s="30"/>
      <c r="B107" s="23"/>
      <c r="C107" s="23"/>
    </row>
    <row r="108">
      <c r="A108" s="30"/>
      <c r="B108" s="23"/>
      <c r="C108" s="23"/>
    </row>
    <row r="109">
      <c r="A109" s="30"/>
      <c r="B109" s="23"/>
      <c r="C109" s="23"/>
    </row>
    <row r="110">
      <c r="A110" s="30"/>
      <c r="B110" s="23"/>
      <c r="C110" s="23"/>
    </row>
    <row r="111">
      <c r="A111" s="30"/>
      <c r="B111" s="23"/>
      <c r="C111" s="23"/>
    </row>
    <row r="112">
      <c r="A112" s="30"/>
      <c r="B112" s="23"/>
      <c r="C112" s="23"/>
    </row>
    <row r="113">
      <c r="A113" s="30"/>
      <c r="B113" s="23"/>
      <c r="C113" s="23"/>
    </row>
    <row r="114">
      <c r="A114" s="30"/>
      <c r="B114" s="23"/>
      <c r="C114" s="23"/>
    </row>
    <row r="115">
      <c r="A115" s="30"/>
      <c r="B115" s="23"/>
      <c r="C115" s="23"/>
    </row>
    <row r="116">
      <c r="A116" s="30"/>
      <c r="B116" s="23"/>
      <c r="C116" s="23"/>
    </row>
    <row r="117">
      <c r="A117" s="30"/>
      <c r="B117" s="23"/>
      <c r="C117" s="23"/>
    </row>
    <row r="118">
      <c r="A118" s="30"/>
      <c r="B118" s="23"/>
      <c r="C118" s="23"/>
    </row>
    <row r="119">
      <c r="A119" s="30"/>
      <c r="B119" s="23"/>
      <c r="C119" s="23"/>
    </row>
    <row r="120">
      <c r="A120" s="30"/>
      <c r="B120" s="23"/>
      <c r="C120" s="23"/>
    </row>
    <row r="121">
      <c r="A121" s="30"/>
      <c r="B121" s="23"/>
      <c r="C121" s="23"/>
    </row>
    <row r="122">
      <c r="A122" s="30"/>
      <c r="B122" s="23"/>
      <c r="C122" s="23"/>
    </row>
    <row r="123">
      <c r="A123" s="30"/>
      <c r="B123" s="23"/>
      <c r="C123" s="23"/>
    </row>
    <row r="124">
      <c r="A124" s="30"/>
      <c r="B124" s="23"/>
      <c r="C124" s="23"/>
    </row>
    <row r="125">
      <c r="A125" s="30"/>
      <c r="B125" s="23"/>
      <c r="C125" s="23"/>
    </row>
    <row r="126">
      <c r="A126" s="30"/>
      <c r="B126" s="23"/>
      <c r="C126" s="23"/>
    </row>
    <row r="127">
      <c r="A127" s="30"/>
      <c r="B127" s="23"/>
      <c r="C127" s="23"/>
    </row>
    <row r="128">
      <c r="A128" s="30"/>
      <c r="B128" s="23"/>
      <c r="C128" s="23"/>
    </row>
    <row r="129">
      <c r="A129" s="30"/>
      <c r="B129" s="23"/>
      <c r="C129" s="23"/>
    </row>
    <row r="130">
      <c r="A130" s="30"/>
      <c r="B130" s="23"/>
      <c r="C130" s="23"/>
    </row>
    <row r="131">
      <c r="A131" s="30"/>
      <c r="B131" s="23"/>
      <c r="C131" s="23"/>
    </row>
    <row r="132">
      <c r="A132" s="30"/>
      <c r="B132" s="23"/>
      <c r="C132" s="23"/>
    </row>
    <row r="133">
      <c r="A133" s="30"/>
      <c r="B133" s="23"/>
      <c r="C133" s="23"/>
    </row>
    <row r="134">
      <c r="A134" s="30"/>
      <c r="B134" s="23"/>
      <c r="C134" s="23"/>
    </row>
    <row r="135">
      <c r="A135" s="30"/>
      <c r="B135" s="23"/>
      <c r="C135" s="23"/>
    </row>
    <row r="136">
      <c r="A136" s="30"/>
      <c r="B136" s="23"/>
      <c r="C136" s="23"/>
    </row>
    <row r="137">
      <c r="A137" s="30"/>
      <c r="B137" s="23"/>
      <c r="C137" s="23"/>
    </row>
    <row r="138">
      <c r="A138" s="30"/>
      <c r="B138" s="23"/>
      <c r="C138" s="23"/>
    </row>
    <row r="139">
      <c r="A139" s="30"/>
      <c r="B139" s="23"/>
      <c r="C139" s="23"/>
    </row>
    <row r="140">
      <c r="A140" s="30"/>
      <c r="B140" s="23"/>
      <c r="C140" s="23"/>
    </row>
    <row r="141">
      <c r="A141" s="30"/>
      <c r="B141" s="23"/>
      <c r="C141" s="23"/>
    </row>
    <row r="142">
      <c r="A142" s="30"/>
      <c r="B142" s="23"/>
      <c r="C142" s="23"/>
    </row>
    <row r="143">
      <c r="A143" s="30"/>
      <c r="B143" s="23"/>
      <c r="C143" s="23"/>
    </row>
    <row r="144">
      <c r="A144" s="30"/>
      <c r="B144" s="23"/>
      <c r="C144" s="23"/>
    </row>
    <row r="145">
      <c r="A145" s="30"/>
      <c r="B145" s="23"/>
      <c r="C145" s="23"/>
    </row>
    <row r="146">
      <c r="A146" s="30"/>
      <c r="B146" s="23"/>
      <c r="C146" s="23"/>
    </row>
    <row r="147">
      <c r="A147" s="30"/>
      <c r="B147" s="23"/>
      <c r="C147" s="23"/>
    </row>
    <row r="148">
      <c r="A148" s="30"/>
      <c r="B148" s="23"/>
      <c r="C148" s="23"/>
    </row>
    <row r="149">
      <c r="A149" s="30"/>
      <c r="B149" s="23"/>
      <c r="C149" s="23"/>
    </row>
    <row r="150">
      <c r="A150" s="30"/>
      <c r="B150" s="23"/>
      <c r="C150" s="23"/>
    </row>
    <row r="151">
      <c r="A151" s="30"/>
      <c r="B151" s="23"/>
      <c r="C151" s="23"/>
    </row>
    <row r="152">
      <c r="A152" s="30"/>
      <c r="B152" s="23"/>
      <c r="C152" s="23"/>
    </row>
    <row r="153">
      <c r="A153" s="30"/>
      <c r="B153" s="23"/>
      <c r="C153" s="23"/>
    </row>
    <row r="154">
      <c r="A154" s="30"/>
      <c r="B154" s="23"/>
      <c r="C154" s="23"/>
    </row>
    <row r="155">
      <c r="A155" s="30"/>
      <c r="B155" s="23"/>
      <c r="C155" s="23"/>
    </row>
    <row r="156">
      <c r="A156" s="30"/>
      <c r="B156" s="23"/>
      <c r="C156" s="23"/>
    </row>
    <row r="157">
      <c r="A157" s="30"/>
      <c r="B157" s="23"/>
      <c r="C157" s="23"/>
    </row>
    <row r="158">
      <c r="A158" s="30"/>
      <c r="B158" s="23"/>
      <c r="C158" s="23"/>
    </row>
    <row r="159">
      <c r="A159" s="30"/>
      <c r="B159" s="23"/>
      <c r="C159" s="23"/>
    </row>
    <row r="160">
      <c r="A160" s="30"/>
      <c r="B160" s="23"/>
      <c r="C160" s="23"/>
    </row>
    <row r="161">
      <c r="A161" s="30"/>
      <c r="B161" s="23"/>
      <c r="C161" s="23"/>
    </row>
    <row r="162">
      <c r="A162" s="30"/>
      <c r="B162" s="23"/>
      <c r="C162" s="23"/>
    </row>
    <row r="163">
      <c r="A163" s="30"/>
      <c r="B163" s="23"/>
      <c r="C163" s="23"/>
    </row>
    <row r="164">
      <c r="A164" s="30"/>
      <c r="B164" s="23"/>
      <c r="C164" s="23"/>
    </row>
    <row r="165">
      <c r="A165" s="30"/>
      <c r="B165" s="23"/>
      <c r="C165" s="23"/>
    </row>
    <row r="166">
      <c r="A166" s="30"/>
      <c r="B166" s="23"/>
      <c r="C166" s="23"/>
    </row>
    <row r="167">
      <c r="A167" s="30"/>
      <c r="B167" s="23"/>
      <c r="C167" s="23"/>
    </row>
    <row r="168">
      <c r="A168" s="30"/>
      <c r="B168" s="23"/>
      <c r="C168" s="23"/>
    </row>
    <row r="169">
      <c r="A169" s="30"/>
      <c r="B169" s="23"/>
      <c r="C169" s="23"/>
    </row>
    <row r="170">
      <c r="A170" s="30"/>
      <c r="B170" s="23"/>
      <c r="C170" s="23"/>
    </row>
    <row r="171">
      <c r="A171" s="30"/>
      <c r="B171" s="23"/>
      <c r="C171" s="23"/>
    </row>
    <row r="172">
      <c r="A172" s="30"/>
      <c r="B172" s="23"/>
      <c r="C172" s="23"/>
    </row>
    <row r="173">
      <c r="A173" s="30"/>
      <c r="B173" s="23"/>
      <c r="C173" s="23"/>
    </row>
    <row r="174">
      <c r="A174" s="30"/>
      <c r="B174" s="23"/>
      <c r="C174" s="23"/>
    </row>
    <row r="175">
      <c r="A175" s="30"/>
      <c r="B175" s="23"/>
      <c r="C175" s="23"/>
    </row>
    <row r="176">
      <c r="A176" s="30"/>
      <c r="B176" s="23"/>
      <c r="C176" s="23"/>
    </row>
    <row r="177">
      <c r="A177" s="30"/>
      <c r="B177" s="23"/>
      <c r="C177" s="23"/>
    </row>
    <row r="178">
      <c r="A178" s="30"/>
      <c r="B178" s="23"/>
      <c r="C178" s="23"/>
    </row>
    <row r="179">
      <c r="A179" s="30"/>
      <c r="B179" s="23"/>
      <c r="C179" s="23"/>
    </row>
    <row r="180">
      <c r="A180" s="30"/>
      <c r="B180" s="23"/>
      <c r="C180" s="23"/>
    </row>
    <row r="181">
      <c r="A181" s="30"/>
      <c r="B181" s="23"/>
      <c r="C181" s="23"/>
    </row>
    <row r="182">
      <c r="A182" s="30"/>
      <c r="B182" s="23"/>
      <c r="C182" s="23"/>
    </row>
    <row r="183">
      <c r="A183" s="30"/>
      <c r="B183" s="23"/>
      <c r="C183" s="23"/>
    </row>
    <row r="184">
      <c r="A184" s="30"/>
      <c r="B184" s="23"/>
      <c r="C184" s="23"/>
    </row>
    <row r="185">
      <c r="A185" s="30"/>
      <c r="B185" s="23"/>
      <c r="C185" s="23"/>
    </row>
    <row r="186">
      <c r="A186" s="30"/>
      <c r="B186" s="23"/>
      <c r="C186" s="23"/>
    </row>
    <row r="187">
      <c r="A187" s="30"/>
      <c r="B187" s="23"/>
      <c r="C187" s="23"/>
    </row>
    <row r="188">
      <c r="A188" s="30"/>
      <c r="B188" s="23"/>
      <c r="C188" s="23"/>
    </row>
    <row r="189">
      <c r="A189" s="30"/>
      <c r="B189" s="23"/>
      <c r="C189" s="23"/>
    </row>
    <row r="190">
      <c r="A190" s="30"/>
      <c r="B190" s="23"/>
      <c r="C190" s="23"/>
    </row>
    <row r="191">
      <c r="A191" s="30"/>
      <c r="B191" s="23"/>
      <c r="C191" s="23"/>
    </row>
    <row r="192">
      <c r="A192" s="30"/>
      <c r="B192" s="23"/>
      <c r="C192" s="23"/>
    </row>
    <row r="193">
      <c r="A193" s="30"/>
      <c r="B193" s="23"/>
      <c r="C193" s="23"/>
    </row>
    <row r="194">
      <c r="A194" s="30"/>
      <c r="B194" s="23"/>
      <c r="C194" s="23"/>
    </row>
    <row r="195">
      <c r="A195" s="30"/>
      <c r="B195" s="23"/>
      <c r="C195" s="23"/>
    </row>
    <row r="196">
      <c r="A196" s="30"/>
      <c r="B196" s="23"/>
      <c r="C196" s="23"/>
    </row>
    <row r="197">
      <c r="A197" s="30"/>
      <c r="B197" s="23"/>
      <c r="C197" s="23"/>
    </row>
    <row r="198">
      <c r="A198" s="30"/>
      <c r="B198" s="23"/>
      <c r="C198" s="23"/>
    </row>
    <row r="199">
      <c r="A199" s="30"/>
      <c r="B199" s="23"/>
      <c r="C199" s="23"/>
    </row>
    <row r="200">
      <c r="A200" s="30"/>
      <c r="B200" s="23"/>
      <c r="C200" s="23"/>
    </row>
    <row r="201">
      <c r="A201" s="30"/>
      <c r="B201" s="23"/>
      <c r="C201" s="23"/>
    </row>
    <row r="202">
      <c r="A202" s="30"/>
      <c r="B202" s="23"/>
      <c r="C202" s="23"/>
    </row>
    <row r="203">
      <c r="A203" s="30"/>
      <c r="B203" s="23"/>
      <c r="C203" s="23"/>
    </row>
    <row r="204">
      <c r="A204" s="30"/>
      <c r="B204" s="23"/>
      <c r="C204" s="23"/>
    </row>
    <row r="205">
      <c r="A205" s="30"/>
      <c r="B205" s="23"/>
      <c r="C205" s="23"/>
    </row>
    <row r="206">
      <c r="A206" s="30"/>
      <c r="B206" s="23"/>
      <c r="C206" s="23"/>
    </row>
    <row r="207">
      <c r="A207" s="30"/>
      <c r="B207" s="23"/>
      <c r="C207" s="23"/>
    </row>
    <row r="208">
      <c r="A208" s="30"/>
      <c r="B208" s="23"/>
      <c r="C208" s="23"/>
    </row>
    <row r="209">
      <c r="A209" s="30"/>
      <c r="B209" s="23"/>
      <c r="C209" s="23"/>
    </row>
    <row r="210">
      <c r="A210" s="30"/>
      <c r="B210" s="23"/>
      <c r="C210" s="23"/>
    </row>
    <row r="211">
      <c r="A211" s="30"/>
      <c r="B211" s="23"/>
      <c r="C211" s="23"/>
    </row>
    <row r="212">
      <c r="A212" s="30"/>
      <c r="B212" s="23"/>
      <c r="C212" s="23"/>
    </row>
    <row r="213">
      <c r="A213" s="30"/>
      <c r="B213" s="23"/>
      <c r="C213" s="23"/>
    </row>
    <row r="214">
      <c r="A214" s="30"/>
      <c r="B214" s="23"/>
      <c r="C214" s="23"/>
    </row>
    <row r="215">
      <c r="A215" s="30"/>
      <c r="B215" s="23"/>
      <c r="C215" s="23"/>
    </row>
    <row r="216">
      <c r="A216" s="30"/>
      <c r="B216" s="23"/>
      <c r="C216" s="23"/>
    </row>
    <row r="217">
      <c r="A217" s="30"/>
      <c r="B217" s="23"/>
      <c r="C217" s="23"/>
    </row>
    <row r="218">
      <c r="A218" s="30"/>
      <c r="B218" s="23"/>
      <c r="C218" s="23"/>
    </row>
    <row r="219">
      <c r="A219" s="30"/>
      <c r="B219" s="23"/>
      <c r="C219" s="23"/>
    </row>
    <row r="220">
      <c r="A220" s="30"/>
      <c r="B220" s="23"/>
      <c r="C220" s="23"/>
    </row>
    <row r="221">
      <c r="A221" s="30"/>
      <c r="B221" s="23"/>
      <c r="C221" s="23"/>
    </row>
    <row r="222">
      <c r="A222" s="30"/>
      <c r="B222" s="23"/>
      <c r="C222" s="23"/>
    </row>
    <row r="223">
      <c r="A223" s="30"/>
      <c r="B223" s="23"/>
      <c r="C223" s="23"/>
    </row>
    <row r="224">
      <c r="A224" s="30"/>
      <c r="B224" s="23"/>
      <c r="C224" s="23"/>
    </row>
    <row r="225">
      <c r="A225" s="30"/>
      <c r="B225" s="23"/>
      <c r="C225" s="23"/>
    </row>
    <row r="226">
      <c r="A226" s="30"/>
      <c r="B226" s="23"/>
      <c r="C226" s="23"/>
    </row>
    <row r="227">
      <c r="A227" s="30"/>
      <c r="B227" s="23"/>
      <c r="C227" s="23"/>
    </row>
    <row r="228">
      <c r="A228" s="30"/>
      <c r="B228" s="23"/>
      <c r="C228" s="23"/>
    </row>
    <row r="229">
      <c r="A229" s="30"/>
      <c r="B229" s="23"/>
      <c r="C229" s="23"/>
    </row>
    <row r="230">
      <c r="A230" s="30"/>
      <c r="B230" s="23"/>
      <c r="C230" s="23"/>
    </row>
    <row r="231">
      <c r="A231" s="30"/>
      <c r="B231" s="23"/>
      <c r="C231" s="23"/>
    </row>
    <row r="232">
      <c r="A232" s="30"/>
      <c r="B232" s="23"/>
      <c r="C232" s="23"/>
    </row>
    <row r="233">
      <c r="A233" s="30"/>
      <c r="B233" s="23"/>
      <c r="C233" s="23"/>
    </row>
    <row r="234">
      <c r="A234" s="30"/>
      <c r="B234" s="23"/>
      <c r="C234" s="23"/>
    </row>
    <row r="235">
      <c r="A235" s="30"/>
      <c r="B235" s="23"/>
      <c r="C235" s="23"/>
    </row>
    <row r="236">
      <c r="A236" s="30"/>
      <c r="B236" s="23"/>
      <c r="C236" s="23"/>
    </row>
    <row r="237">
      <c r="A237" s="30"/>
      <c r="B237" s="23"/>
      <c r="C237" s="23"/>
    </row>
    <row r="238">
      <c r="A238" s="30"/>
      <c r="B238" s="23"/>
      <c r="C238" s="23"/>
    </row>
    <row r="239">
      <c r="A239" s="30"/>
      <c r="B239" s="23"/>
      <c r="C239" s="23"/>
    </row>
    <row r="240">
      <c r="A240" s="30"/>
      <c r="B240" s="23"/>
      <c r="C240" s="23"/>
    </row>
    <row r="241">
      <c r="A241" s="30"/>
      <c r="B241" s="23"/>
      <c r="C241" s="23"/>
    </row>
    <row r="242">
      <c r="A242" s="30"/>
      <c r="B242" s="23"/>
      <c r="C242" s="23"/>
    </row>
    <row r="243">
      <c r="A243" s="30"/>
      <c r="B243" s="23"/>
      <c r="C243" s="23"/>
    </row>
    <row r="244">
      <c r="A244" s="30"/>
      <c r="B244" s="23"/>
      <c r="C244" s="23"/>
    </row>
    <row r="245">
      <c r="A245" s="30"/>
      <c r="B245" s="23"/>
      <c r="C245" s="23"/>
    </row>
    <row r="246">
      <c r="A246" s="30"/>
      <c r="B246" s="23"/>
      <c r="C246" s="23"/>
    </row>
    <row r="247">
      <c r="A247" s="30"/>
      <c r="B247" s="23"/>
      <c r="C247" s="23"/>
    </row>
    <row r="248">
      <c r="A248" s="30"/>
      <c r="B248" s="23"/>
      <c r="C248" s="23"/>
    </row>
    <row r="249">
      <c r="A249" s="30"/>
      <c r="B249" s="23"/>
      <c r="C249" s="23"/>
    </row>
    <row r="250">
      <c r="A250" s="30"/>
      <c r="B250" s="23"/>
      <c r="C250" s="23"/>
    </row>
    <row r="251">
      <c r="A251" s="30"/>
      <c r="B251" s="23"/>
      <c r="C251" s="23"/>
    </row>
    <row r="252">
      <c r="A252" s="30"/>
      <c r="B252" s="23"/>
      <c r="C252" s="23"/>
    </row>
    <row r="253">
      <c r="A253" s="30"/>
      <c r="B253" s="23"/>
      <c r="C253" s="23"/>
    </row>
    <row r="254">
      <c r="A254" s="30"/>
      <c r="B254" s="23"/>
      <c r="C254" s="23"/>
    </row>
    <row r="255">
      <c r="A255" s="30"/>
      <c r="B255" s="23"/>
      <c r="C255" s="23"/>
    </row>
    <row r="256">
      <c r="A256" s="30"/>
      <c r="B256" s="23"/>
      <c r="C256" s="23"/>
    </row>
    <row r="257">
      <c r="A257" s="30"/>
      <c r="B257" s="23"/>
      <c r="C257" s="23"/>
    </row>
    <row r="258">
      <c r="A258" s="30"/>
      <c r="B258" s="23"/>
      <c r="C258" s="23"/>
    </row>
    <row r="259">
      <c r="A259" s="30"/>
      <c r="B259" s="23"/>
      <c r="C259" s="23"/>
    </row>
    <row r="260">
      <c r="A260" s="30"/>
      <c r="B260" s="23"/>
      <c r="C260" s="23"/>
    </row>
    <row r="261">
      <c r="A261" s="30"/>
      <c r="B261" s="23"/>
      <c r="C261" s="23"/>
    </row>
    <row r="262">
      <c r="A262" s="30"/>
      <c r="B262" s="23"/>
      <c r="C262" s="23"/>
    </row>
    <row r="263">
      <c r="A263" s="30"/>
      <c r="B263" s="23"/>
      <c r="C263" s="23"/>
    </row>
    <row r="264">
      <c r="A264" s="30"/>
      <c r="B264" s="23"/>
      <c r="C264" s="23"/>
    </row>
    <row r="265">
      <c r="A265" s="30"/>
      <c r="B265" s="23"/>
      <c r="C265" s="23"/>
    </row>
    <row r="266">
      <c r="A266" s="30"/>
      <c r="B266" s="23"/>
      <c r="C266" s="23"/>
    </row>
    <row r="267">
      <c r="A267" s="30"/>
      <c r="B267" s="23"/>
      <c r="C267" s="23"/>
    </row>
    <row r="268">
      <c r="A268" s="30"/>
      <c r="B268" s="23"/>
      <c r="C268" s="23"/>
    </row>
    <row r="269">
      <c r="A269" s="30"/>
      <c r="B269" s="23"/>
      <c r="C269" s="23"/>
    </row>
    <row r="270">
      <c r="A270" s="30"/>
      <c r="B270" s="23"/>
      <c r="C270" s="23"/>
    </row>
    <row r="271">
      <c r="A271" s="30"/>
      <c r="B271" s="23"/>
      <c r="C271" s="23"/>
    </row>
    <row r="272">
      <c r="A272" s="30"/>
      <c r="B272" s="23"/>
      <c r="C272" s="23"/>
    </row>
    <row r="273">
      <c r="A273" s="30"/>
      <c r="B273" s="23"/>
      <c r="C273" s="23"/>
    </row>
    <row r="274">
      <c r="A274" s="30"/>
      <c r="B274" s="23"/>
      <c r="C274" s="23"/>
    </row>
    <row r="275">
      <c r="A275" s="30"/>
      <c r="B275" s="23"/>
      <c r="C275" s="23"/>
    </row>
    <row r="276">
      <c r="A276" s="30"/>
      <c r="B276" s="23"/>
      <c r="C276" s="23"/>
    </row>
    <row r="277">
      <c r="A277" s="30"/>
      <c r="B277" s="23"/>
      <c r="C277" s="23"/>
    </row>
    <row r="278">
      <c r="A278" s="30"/>
      <c r="B278" s="23"/>
      <c r="C278" s="23"/>
    </row>
    <row r="279">
      <c r="A279" s="30"/>
      <c r="B279" s="23"/>
      <c r="C279" s="23"/>
    </row>
    <row r="280">
      <c r="A280" s="30"/>
      <c r="B280" s="23"/>
      <c r="C280" s="23"/>
    </row>
    <row r="281">
      <c r="A281" s="30"/>
      <c r="B281" s="23"/>
      <c r="C281" s="23"/>
    </row>
    <row r="282">
      <c r="A282" s="30"/>
      <c r="B282" s="23"/>
      <c r="C282" s="23"/>
    </row>
    <row r="283">
      <c r="A283" s="30"/>
      <c r="B283" s="23"/>
      <c r="C283" s="23"/>
    </row>
    <row r="284">
      <c r="A284" s="30"/>
      <c r="B284" s="23"/>
      <c r="C284" s="23"/>
    </row>
    <row r="285">
      <c r="A285" s="30"/>
      <c r="B285" s="23"/>
      <c r="C285" s="23"/>
    </row>
    <row r="286">
      <c r="A286" s="30"/>
      <c r="B286" s="23"/>
      <c r="C286" s="23"/>
    </row>
    <row r="287">
      <c r="A287" s="30"/>
      <c r="B287" s="23"/>
      <c r="C287" s="23"/>
    </row>
    <row r="288">
      <c r="A288" s="30"/>
      <c r="B288" s="23"/>
      <c r="C288" s="23"/>
    </row>
    <row r="289">
      <c r="A289" s="30"/>
      <c r="B289" s="23"/>
      <c r="C289" s="23"/>
    </row>
    <row r="290">
      <c r="A290" s="30"/>
      <c r="B290" s="23"/>
      <c r="C290" s="23"/>
    </row>
    <row r="291">
      <c r="A291" s="30"/>
      <c r="B291" s="23"/>
      <c r="C291" s="23"/>
    </row>
    <row r="292">
      <c r="A292" s="30"/>
      <c r="B292" s="23"/>
      <c r="C292" s="23"/>
    </row>
    <row r="293">
      <c r="A293" s="30"/>
      <c r="B293" s="23"/>
      <c r="C293" s="23"/>
    </row>
    <row r="294">
      <c r="A294" s="30"/>
      <c r="B294" s="23"/>
      <c r="C294" s="23"/>
    </row>
    <row r="295">
      <c r="A295" s="30"/>
      <c r="B295" s="23"/>
      <c r="C295" s="23"/>
    </row>
    <row r="296">
      <c r="A296" s="30"/>
      <c r="B296" s="23"/>
      <c r="C296" s="23"/>
    </row>
    <row r="297">
      <c r="A297" s="30"/>
      <c r="B297" s="23"/>
      <c r="C297" s="23"/>
    </row>
    <row r="298">
      <c r="A298" s="30"/>
      <c r="B298" s="23"/>
      <c r="C298" s="23"/>
    </row>
    <row r="299">
      <c r="A299" s="30"/>
      <c r="B299" s="23"/>
      <c r="C299" s="23"/>
    </row>
    <row r="300">
      <c r="A300" s="30"/>
      <c r="B300" s="23"/>
      <c r="C300" s="23"/>
    </row>
    <row r="301">
      <c r="A301" s="30"/>
      <c r="B301" s="23"/>
      <c r="C301" s="23"/>
    </row>
    <row r="302">
      <c r="A302" s="30"/>
      <c r="B302" s="23"/>
      <c r="C302" s="23"/>
    </row>
    <row r="303">
      <c r="A303" s="30"/>
      <c r="B303" s="23"/>
      <c r="C303" s="23"/>
    </row>
    <row r="304">
      <c r="A304" s="30"/>
      <c r="B304" s="23"/>
      <c r="C304" s="23"/>
    </row>
    <row r="305">
      <c r="A305" s="30"/>
      <c r="B305" s="23"/>
      <c r="C305" s="23"/>
    </row>
    <row r="306">
      <c r="A306" s="30"/>
      <c r="B306" s="23"/>
      <c r="C306" s="23"/>
    </row>
    <row r="307">
      <c r="A307" s="30"/>
      <c r="B307" s="23"/>
      <c r="C307" s="23"/>
    </row>
    <row r="308">
      <c r="A308" s="30"/>
      <c r="B308" s="23"/>
      <c r="C308" s="23"/>
    </row>
    <row r="309">
      <c r="A309" s="30"/>
      <c r="B309" s="23"/>
      <c r="C309" s="23"/>
    </row>
    <row r="310">
      <c r="A310" s="30"/>
      <c r="B310" s="23"/>
      <c r="C310" s="23"/>
    </row>
    <row r="311">
      <c r="A311" s="30"/>
      <c r="B311" s="23"/>
      <c r="C311" s="23"/>
    </row>
    <row r="312">
      <c r="A312" s="30"/>
      <c r="B312" s="23"/>
      <c r="C312" s="23"/>
    </row>
    <row r="313">
      <c r="A313" s="30"/>
      <c r="B313" s="23"/>
      <c r="C313" s="23"/>
    </row>
    <row r="314">
      <c r="A314" s="30"/>
      <c r="B314" s="23"/>
      <c r="C314" s="23"/>
    </row>
    <row r="315">
      <c r="A315" s="30"/>
      <c r="B315" s="23"/>
      <c r="C315" s="23"/>
    </row>
    <row r="316">
      <c r="A316" s="30"/>
      <c r="B316" s="23"/>
      <c r="C316" s="23"/>
    </row>
    <row r="317">
      <c r="A317" s="30"/>
      <c r="B317" s="23"/>
      <c r="C317" s="23"/>
    </row>
    <row r="318">
      <c r="A318" s="30"/>
      <c r="B318" s="23"/>
      <c r="C318" s="23"/>
    </row>
    <row r="319">
      <c r="A319" s="30"/>
      <c r="B319" s="23"/>
      <c r="C319" s="23"/>
    </row>
    <row r="320">
      <c r="A320" s="30"/>
      <c r="B320" s="23"/>
      <c r="C320" s="23"/>
    </row>
    <row r="321">
      <c r="A321" s="30"/>
      <c r="B321" s="23"/>
      <c r="C321" s="23"/>
    </row>
    <row r="322">
      <c r="A322" s="30"/>
      <c r="B322" s="23"/>
      <c r="C322" s="23"/>
    </row>
    <row r="323">
      <c r="A323" s="30"/>
      <c r="B323" s="23"/>
      <c r="C323" s="23"/>
    </row>
    <row r="324">
      <c r="A324" s="30"/>
      <c r="B324" s="23"/>
      <c r="C324" s="23"/>
    </row>
    <row r="325">
      <c r="A325" s="30"/>
      <c r="B325" s="23"/>
      <c r="C325" s="23"/>
    </row>
    <row r="326">
      <c r="A326" s="30"/>
      <c r="B326" s="23"/>
      <c r="C326" s="23"/>
    </row>
    <row r="327">
      <c r="A327" s="30"/>
      <c r="B327" s="23"/>
      <c r="C327" s="23"/>
    </row>
    <row r="328">
      <c r="A328" s="30"/>
      <c r="B328" s="23"/>
      <c r="C328" s="23"/>
    </row>
    <row r="329">
      <c r="A329" s="30"/>
      <c r="B329" s="23"/>
      <c r="C329" s="23"/>
    </row>
    <row r="330">
      <c r="A330" s="30"/>
      <c r="B330" s="23"/>
      <c r="C330" s="23"/>
    </row>
    <row r="331">
      <c r="A331" s="30"/>
      <c r="B331" s="23"/>
      <c r="C331" s="23"/>
    </row>
    <row r="332">
      <c r="A332" s="30"/>
      <c r="B332" s="23"/>
      <c r="C332" s="23"/>
    </row>
    <row r="333">
      <c r="A333" s="30"/>
      <c r="B333" s="23"/>
      <c r="C333" s="23"/>
    </row>
    <row r="334">
      <c r="A334" s="30"/>
      <c r="B334" s="23"/>
      <c r="C334" s="23"/>
    </row>
    <row r="335">
      <c r="A335" s="30"/>
      <c r="B335" s="23"/>
      <c r="C335" s="23"/>
    </row>
    <row r="336">
      <c r="A336" s="30"/>
      <c r="B336" s="23"/>
      <c r="C336" s="23"/>
    </row>
    <row r="337">
      <c r="A337" s="30"/>
      <c r="B337" s="23"/>
      <c r="C337" s="23"/>
    </row>
    <row r="338">
      <c r="A338" s="30"/>
      <c r="B338" s="23"/>
      <c r="C338" s="23"/>
    </row>
    <row r="339">
      <c r="A339" s="30"/>
      <c r="B339" s="23"/>
      <c r="C339" s="23"/>
    </row>
    <row r="340">
      <c r="A340" s="30"/>
      <c r="B340" s="23"/>
      <c r="C340" s="23"/>
    </row>
    <row r="341">
      <c r="A341" s="30"/>
      <c r="B341" s="23"/>
      <c r="C341" s="23"/>
    </row>
    <row r="342">
      <c r="A342" s="30"/>
      <c r="B342" s="23"/>
      <c r="C342" s="23"/>
    </row>
    <row r="343">
      <c r="A343" s="30"/>
      <c r="B343" s="23"/>
      <c r="C343" s="23"/>
    </row>
    <row r="344">
      <c r="A344" s="30"/>
      <c r="B344" s="23"/>
      <c r="C344" s="23"/>
    </row>
    <row r="345">
      <c r="A345" s="30"/>
      <c r="B345" s="23"/>
      <c r="C345" s="23"/>
    </row>
    <row r="346">
      <c r="A346" s="30"/>
      <c r="B346" s="23"/>
      <c r="C346" s="23"/>
    </row>
    <row r="347">
      <c r="A347" s="30"/>
      <c r="B347" s="23"/>
      <c r="C347" s="23"/>
    </row>
    <row r="348">
      <c r="A348" s="30"/>
      <c r="B348" s="23"/>
      <c r="C348" s="23"/>
    </row>
    <row r="349">
      <c r="A349" s="30"/>
      <c r="B349" s="23"/>
      <c r="C349" s="23"/>
    </row>
    <row r="350">
      <c r="A350" s="30"/>
      <c r="B350" s="23"/>
      <c r="C350" s="23"/>
    </row>
    <row r="351">
      <c r="A351" s="30"/>
      <c r="B351" s="23"/>
      <c r="C351" s="23"/>
    </row>
    <row r="352">
      <c r="A352" s="30"/>
      <c r="B352" s="23"/>
      <c r="C352" s="23"/>
    </row>
    <row r="353">
      <c r="A353" s="30"/>
      <c r="B353" s="23"/>
      <c r="C353" s="23"/>
    </row>
    <row r="354">
      <c r="A354" s="30"/>
      <c r="B354" s="23"/>
      <c r="C354" s="23"/>
    </row>
    <row r="355">
      <c r="A355" s="30"/>
      <c r="B355" s="23"/>
      <c r="C355" s="23"/>
    </row>
    <row r="356">
      <c r="A356" s="30"/>
      <c r="B356" s="23"/>
      <c r="C356" s="23"/>
    </row>
    <row r="357">
      <c r="A357" s="30"/>
      <c r="B357" s="23"/>
      <c r="C357" s="23"/>
    </row>
    <row r="358">
      <c r="A358" s="30"/>
      <c r="B358" s="23"/>
      <c r="C358" s="23"/>
    </row>
    <row r="359">
      <c r="A359" s="30"/>
      <c r="B359" s="23"/>
      <c r="C359" s="23"/>
    </row>
    <row r="360">
      <c r="A360" s="30"/>
      <c r="B360" s="23"/>
      <c r="C360" s="23"/>
    </row>
    <row r="361">
      <c r="A361" s="30"/>
      <c r="B361" s="23"/>
      <c r="C361" s="23"/>
    </row>
    <row r="362">
      <c r="A362" s="30"/>
      <c r="B362" s="23"/>
      <c r="C362" s="23"/>
    </row>
    <row r="363">
      <c r="A363" s="30"/>
      <c r="B363" s="23"/>
      <c r="C363" s="23"/>
    </row>
    <row r="364">
      <c r="A364" s="30"/>
      <c r="B364" s="23"/>
      <c r="C364" s="23"/>
    </row>
    <row r="365">
      <c r="A365" s="30"/>
      <c r="B365" s="23"/>
      <c r="C365" s="23"/>
    </row>
    <row r="366">
      <c r="A366" s="30"/>
      <c r="B366" s="23"/>
      <c r="C366" s="23"/>
    </row>
    <row r="367">
      <c r="A367" s="30"/>
      <c r="B367" s="23"/>
      <c r="C367" s="23"/>
    </row>
    <row r="368">
      <c r="A368" s="30"/>
      <c r="B368" s="23"/>
      <c r="C368" s="23"/>
    </row>
    <row r="369">
      <c r="A369" s="30"/>
      <c r="B369" s="23"/>
      <c r="C369" s="23"/>
    </row>
    <row r="370">
      <c r="A370" s="30"/>
      <c r="B370" s="23"/>
      <c r="C370" s="23"/>
    </row>
    <row r="371">
      <c r="A371" s="30"/>
      <c r="B371" s="23"/>
      <c r="C371" s="23"/>
    </row>
    <row r="372">
      <c r="A372" s="30"/>
      <c r="B372" s="23"/>
      <c r="C372" s="23"/>
    </row>
    <row r="373">
      <c r="A373" s="30"/>
      <c r="B373" s="23"/>
      <c r="C373" s="23"/>
    </row>
    <row r="374">
      <c r="A374" s="30"/>
      <c r="B374" s="23"/>
      <c r="C374" s="23"/>
    </row>
    <row r="375">
      <c r="A375" s="30"/>
      <c r="B375" s="23"/>
      <c r="C375" s="23"/>
    </row>
    <row r="376">
      <c r="A376" s="30"/>
      <c r="B376" s="23"/>
      <c r="C376" s="23"/>
    </row>
    <row r="377">
      <c r="A377" s="30"/>
      <c r="B377" s="23"/>
      <c r="C377" s="23"/>
    </row>
    <row r="378">
      <c r="A378" s="30"/>
      <c r="B378" s="23"/>
      <c r="C378" s="23"/>
    </row>
    <row r="379">
      <c r="A379" s="30"/>
      <c r="B379" s="23"/>
      <c r="C379" s="23"/>
    </row>
    <row r="380">
      <c r="A380" s="30"/>
      <c r="B380" s="23"/>
      <c r="C380" s="23"/>
    </row>
    <row r="381">
      <c r="A381" s="30"/>
      <c r="B381" s="23"/>
      <c r="C381" s="23"/>
    </row>
    <row r="382">
      <c r="A382" s="30"/>
      <c r="B382" s="23"/>
      <c r="C382" s="23"/>
    </row>
    <row r="383">
      <c r="A383" s="30"/>
      <c r="B383" s="23"/>
      <c r="C383" s="23"/>
    </row>
    <row r="384">
      <c r="A384" s="30"/>
      <c r="B384" s="23"/>
      <c r="C384" s="23"/>
    </row>
    <row r="385">
      <c r="A385" s="30"/>
      <c r="B385" s="23"/>
      <c r="C385" s="23"/>
    </row>
    <row r="386">
      <c r="A386" s="30"/>
      <c r="B386" s="23"/>
      <c r="C386" s="23"/>
    </row>
    <row r="387">
      <c r="A387" s="30"/>
      <c r="B387" s="23"/>
      <c r="C387" s="23"/>
    </row>
    <row r="388">
      <c r="A388" s="30"/>
      <c r="B388" s="23"/>
      <c r="C388" s="23"/>
    </row>
    <row r="389">
      <c r="A389" s="30"/>
      <c r="B389" s="23"/>
      <c r="C389" s="23"/>
    </row>
    <row r="390">
      <c r="A390" s="30"/>
      <c r="B390" s="23"/>
      <c r="C390" s="23"/>
    </row>
    <row r="391">
      <c r="A391" s="30"/>
      <c r="B391" s="23"/>
      <c r="C391" s="23"/>
    </row>
    <row r="392">
      <c r="A392" s="30"/>
      <c r="B392" s="23"/>
      <c r="C392" s="23"/>
    </row>
    <row r="393">
      <c r="A393" s="30"/>
      <c r="B393" s="23"/>
      <c r="C393" s="23"/>
    </row>
    <row r="394">
      <c r="A394" s="30"/>
      <c r="B394" s="23"/>
      <c r="C394" s="23"/>
    </row>
    <row r="395">
      <c r="A395" s="30"/>
      <c r="B395" s="23"/>
      <c r="C395" s="23"/>
    </row>
    <row r="396">
      <c r="A396" s="30"/>
      <c r="B396" s="23"/>
      <c r="C396" s="23"/>
    </row>
    <row r="397">
      <c r="A397" s="30"/>
      <c r="B397" s="23"/>
      <c r="C397" s="23"/>
    </row>
    <row r="398">
      <c r="A398" s="30"/>
      <c r="B398" s="23"/>
      <c r="C398" s="23"/>
    </row>
    <row r="399">
      <c r="A399" s="30"/>
      <c r="B399" s="23"/>
      <c r="C399" s="23"/>
    </row>
    <row r="400">
      <c r="A400" s="30"/>
      <c r="B400" s="23"/>
      <c r="C400" s="23"/>
    </row>
    <row r="401">
      <c r="A401" s="30"/>
      <c r="B401" s="23"/>
      <c r="C401" s="23"/>
    </row>
    <row r="402">
      <c r="A402" s="30"/>
      <c r="B402" s="23"/>
      <c r="C402" s="23"/>
    </row>
    <row r="403">
      <c r="A403" s="30"/>
      <c r="B403" s="23"/>
      <c r="C403" s="23"/>
    </row>
    <row r="404">
      <c r="A404" s="30"/>
      <c r="B404" s="23"/>
      <c r="C404" s="23"/>
    </row>
    <row r="405">
      <c r="A405" s="30"/>
      <c r="B405" s="23"/>
      <c r="C405" s="23"/>
    </row>
    <row r="406">
      <c r="A406" s="30"/>
      <c r="B406" s="23"/>
      <c r="C406" s="23"/>
    </row>
    <row r="407">
      <c r="A407" s="30"/>
      <c r="B407" s="23"/>
      <c r="C407" s="23"/>
    </row>
    <row r="408">
      <c r="A408" s="30"/>
      <c r="B408" s="23"/>
      <c r="C408" s="23"/>
    </row>
    <row r="409">
      <c r="A409" s="30"/>
      <c r="B409" s="23"/>
      <c r="C409" s="23"/>
    </row>
    <row r="410">
      <c r="A410" s="30"/>
      <c r="B410" s="23"/>
      <c r="C410" s="23"/>
    </row>
    <row r="411">
      <c r="A411" s="30"/>
      <c r="B411" s="23"/>
      <c r="C411" s="23"/>
    </row>
    <row r="412">
      <c r="A412" s="30"/>
      <c r="B412" s="23"/>
      <c r="C412" s="23"/>
    </row>
    <row r="413">
      <c r="A413" s="30"/>
      <c r="B413" s="23"/>
      <c r="C413" s="23"/>
    </row>
    <row r="414">
      <c r="A414" s="30"/>
      <c r="B414" s="23"/>
      <c r="C414" s="23"/>
    </row>
    <row r="415">
      <c r="A415" s="30"/>
      <c r="B415" s="23"/>
      <c r="C415" s="23"/>
    </row>
    <row r="416">
      <c r="A416" s="30"/>
      <c r="B416" s="23"/>
      <c r="C416" s="23"/>
    </row>
    <row r="417">
      <c r="A417" s="30"/>
      <c r="B417" s="23"/>
      <c r="C417" s="23"/>
    </row>
    <row r="418">
      <c r="A418" s="30"/>
      <c r="B418" s="23"/>
      <c r="C418" s="23"/>
    </row>
    <row r="419">
      <c r="A419" s="30"/>
      <c r="B419" s="23"/>
      <c r="C419" s="23"/>
    </row>
    <row r="420">
      <c r="A420" s="30"/>
      <c r="B420" s="23"/>
      <c r="C420" s="23"/>
    </row>
    <row r="421">
      <c r="A421" s="30"/>
      <c r="B421" s="23"/>
      <c r="C421" s="23"/>
    </row>
    <row r="422">
      <c r="A422" s="30"/>
      <c r="B422" s="23"/>
      <c r="C422" s="23"/>
    </row>
    <row r="423">
      <c r="A423" s="30"/>
      <c r="B423" s="23"/>
      <c r="C423" s="23"/>
    </row>
    <row r="424">
      <c r="A424" s="30"/>
      <c r="B424" s="23"/>
      <c r="C424" s="23"/>
    </row>
    <row r="425">
      <c r="A425" s="30"/>
      <c r="B425" s="23"/>
      <c r="C425" s="23"/>
    </row>
    <row r="426">
      <c r="A426" s="30"/>
      <c r="B426" s="23"/>
      <c r="C426" s="23"/>
    </row>
    <row r="427">
      <c r="A427" s="30"/>
      <c r="B427" s="23"/>
      <c r="C427" s="23"/>
    </row>
    <row r="428">
      <c r="A428" s="30"/>
      <c r="B428" s="23"/>
      <c r="C428" s="23"/>
    </row>
    <row r="429">
      <c r="A429" s="30"/>
      <c r="B429" s="23"/>
      <c r="C429" s="23"/>
    </row>
    <row r="430">
      <c r="A430" s="30"/>
      <c r="B430" s="23"/>
      <c r="C430" s="23"/>
    </row>
    <row r="431">
      <c r="A431" s="30"/>
      <c r="B431" s="23"/>
      <c r="C431" s="23"/>
    </row>
    <row r="432">
      <c r="A432" s="30"/>
      <c r="B432" s="23"/>
      <c r="C432" s="23"/>
    </row>
    <row r="433">
      <c r="A433" s="30"/>
      <c r="B433" s="23"/>
      <c r="C433" s="23"/>
    </row>
    <row r="434">
      <c r="A434" s="30"/>
      <c r="B434" s="23"/>
      <c r="C434" s="23"/>
    </row>
    <row r="435">
      <c r="A435" s="30"/>
      <c r="B435" s="23"/>
      <c r="C435" s="23"/>
    </row>
    <row r="436">
      <c r="A436" s="30"/>
      <c r="B436" s="23"/>
      <c r="C436" s="23"/>
    </row>
    <row r="437">
      <c r="A437" s="30"/>
      <c r="B437" s="23"/>
      <c r="C437" s="23"/>
    </row>
    <row r="438">
      <c r="A438" s="30"/>
      <c r="B438" s="23"/>
      <c r="C438" s="23"/>
    </row>
    <row r="439">
      <c r="A439" s="30"/>
      <c r="B439" s="23"/>
      <c r="C439" s="23"/>
    </row>
    <row r="440">
      <c r="A440" s="30"/>
      <c r="B440" s="23"/>
      <c r="C440" s="23"/>
    </row>
    <row r="441">
      <c r="A441" s="30"/>
      <c r="B441" s="23"/>
      <c r="C441" s="23"/>
    </row>
    <row r="442">
      <c r="A442" s="30"/>
      <c r="B442" s="23"/>
      <c r="C442" s="23"/>
    </row>
    <row r="443">
      <c r="A443" s="30"/>
      <c r="B443" s="23"/>
      <c r="C443" s="23"/>
    </row>
    <row r="444">
      <c r="A444" s="30"/>
      <c r="B444" s="23"/>
      <c r="C444" s="23"/>
    </row>
    <row r="445">
      <c r="A445" s="30"/>
      <c r="B445" s="23"/>
      <c r="C445" s="23"/>
    </row>
    <row r="446">
      <c r="A446" s="30"/>
      <c r="B446" s="23"/>
      <c r="C446" s="23"/>
    </row>
    <row r="447">
      <c r="A447" s="30"/>
      <c r="B447" s="23"/>
      <c r="C447" s="23"/>
    </row>
    <row r="448">
      <c r="A448" s="30"/>
      <c r="B448" s="23"/>
      <c r="C448" s="23"/>
    </row>
    <row r="449">
      <c r="A449" s="30"/>
      <c r="B449" s="23"/>
      <c r="C449" s="23"/>
    </row>
    <row r="450">
      <c r="A450" s="30"/>
      <c r="B450" s="23"/>
      <c r="C450" s="23"/>
    </row>
    <row r="451">
      <c r="A451" s="30"/>
      <c r="B451" s="23"/>
      <c r="C451" s="23"/>
    </row>
    <row r="452">
      <c r="A452" s="30"/>
      <c r="B452" s="23"/>
      <c r="C452" s="23"/>
    </row>
    <row r="453">
      <c r="A453" s="30"/>
      <c r="B453" s="23"/>
      <c r="C453" s="23"/>
    </row>
    <row r="454">
      <c r="A454" s="30"/>
      <c r="B454" s="23"/>
      <c r="C454" s="23"/>
    </row>
    <row r="455">
      <c r="A455" s="30"/>
      <c r="B455" s="23"/>
      <c r="C455" s="23"/>
    </row>
    <row r="456">
      <c r="A456" s="30"/>
      <c r="B456" s="23"/>
      <c r="C456" s="23"/>
    </row>
    <row r="457">
      <c r="A457" s="30"/>
      <c r="B457" s="23"/>
      <c r="C457" s="23"/>
    </row>
    <row r="458">
      <c r="A458" s="30"/>
      <c r="B458" s="23"/>
      <c r="C458" s="23"/>
    </row>
    <row r="459">
      <c r="A459" s="30"/>
      <c r="B459" s="23"/>
      <c r="C459" s="23"/>
    </row>
    <row r="460">
      <c r="A460" s="30"/>
      <c r="B460" s="23"/>
      <c r="C460" s="23"/>
    </row>
    <row r="461">
      <c r="A461" s="30"/>
      <c r="B461" s="23"/>
      <c r="C461" s="23"/>
    </row>
    <row r="462">
      <c r="A462" s="30"/>
      <c r="B462" s="23"/>
      <c r="C462" s="23"/>
    </row>
    <row r="463">
      <c r="A463" s="30"/>
      <c r="B463" s="23"/>
      <c r="C463" s="23"/>
    </row>
    <row r="464">
      <c r="A464" s="30"/>
      <c r="B464" s="23"/>
      <c r="C464" s="23"/>
    </row>
    <row r="465">
      <c r="A465" s="30"/>
      <c r="B465" s="23"/>
      <c r="C465" s="23"/>
    </row>
    <row r="466">
      <c r="A466" s="30"/>
      <c r="B466" s="23"/>
      <c r="C466" s="23"/>
    </row>
    <row r="467">
      <c r="A467" s="30"/>
      <c r="B467" s="23"/>
      <c r="C467" s="23"/>
    </row>
    <row r="468">
      <c r="A468" s="30"/>
      <c r="B468" s="23"/>
      <c r="C468" s="23"/>
    </row>
    <row r="469">
      <c r="A469" s="30"/>
      <c r="B469" s="23"/>
      <c r="C469" s="23"/>
    </row>
    <row r="470">
      <c r="A470" s="30"/>
      <c r="B470" s="23"/>
      <c r="C470" s="23"/>
    </row>
    <row r="471">
      <c r="A471" s="30"/>
      <c r="B471" s="23"/>
      <c r="C471" s="23"/>
    </row>
    <row r="472">
      <c r="A472" s="30"/>
      <c r="B472" s="23"/>
      <c r="C472" s="23"/>
    </row>
    <row r="473">
      <c r="A473" s="30"/>
      <c r="B473" s="23"/>
      <c r="C473" s="23"/>
    </row>
    <row r="474">
      <c r="A474" s="30"/>
      <c r="B474" s="23"/>
      <c r="C474" s="23"/>
    </row>
    <row r="475">
      <c r="A475" s="30"/>
      <c r="B475" s="23"/>
      <c r="C475" s="23"/>
    </row>
    <row r="476">
      <c r="A476" s="30"/>
      <c r="B476" s="23"/>
      <c r="C476" s="23"/>
    </row>
    <row r="477">
      <c r="A477" s="30"/>
      <c r="B477" s="23"/>
      <c r="C477" s="23"/>
    </row>
    <row r="478">
      <c r="A478" s="30"/>
      <c r="B478" s="23"/>
      <c r="C478" s="23"/>
    </row>
    <row r="479">
      <c r="A479" s="30"/>
      <c r="B479" s="23"/>
      <c r="C479" s="23"/>
    </row>
    <row r="480">
      <c r="A480" s="30"/>
      <c r="B480" s="23"/>
      <c r="C480" s="23"/>
    </row>
    <row r="481">
      <c r="A481" s="30"/>
      <c r="B481" s="23"/>
      <c r="C481" s="23"/>
    </row>
    <row r="482">
      <c r="A482" s="30"/>
      <c r="B482" s="23"/>
      <c r="C482" s="23"/>
    </row>
    <row r="483">
      <c r="A483" s="30"/>
      <c r="B483" s="23"/>
      <c r="C483" s="23"/>
    </row>
    <row r="484">
      <c r="A484" s="30"/>
      <c r="B484" s="23"/>
      <c r="C484" s="23"/>
    </row>
    <row r="485">
      <c r="A485" s="30"/>
      <c r="B485" s="23"/>
      <c r="C485" s="23"/>
    </row>
    <row r="486">
      <c r="A486" s="30"/>
      <c r="B486" s="23"/>
      <c r="C486" s="23"/>
    </row>
    <row r="487">
      <c r="A487" s="30"/>
      <c r="B487" s="23"/>
      <c r="C487" s="23"/>
    </row>
    <row r="488">
      <c r="A488" s="30"/>
      <c r="B488" s="23"/>
      <c r="C488" s="23"/>
    </row>
    <row r="489">
      <c r="A489" s="30"/>
      <c r="B489" s="23"/>
      <c r="C489" s="23"/>
    </row>
    <row r="490">
      <c r="A490" s="30"/>
      <c r="B490" s="23"/>
      <c r="C490" s="23"/>
    </row>
    <row r="491">
      <c r="A491" s="30"/>
      <c r="B491" s="23"/>
      <c r="C491" s="23"/>
    </row>
    <row r="492">
      <c r="A492" s="30"/>
      <c r="B492" s="23"/>
      <c r="C492" s="23"/>
    </row>
    <row r="493">
      <c r="A493" s="30"/>
      <c r="B493" s="23"/>
      <c r="C493" s="23"/>
    </row>
    <row r="494">
      <c r="A494" s="30"/>
      <c r="B494" s="23"/>
      <c r="C494" s="23"/>
    </row>
    <row r="495">
      <c r="A495" s="30"/>
      <c r="B495" s="23"/>
      <c r="C495" s="23"/>
    </row>
    <row r="496">
      <c r="A496" s="30"/>
      <c r="B496" s="23"/>
      <c r="C496" s="23"/>
    </row>
    <row r="497">
      <c r="A497" s="30"/>
      <c r="B497" s="23"/>
      <c r="C497" s="23"/>
    </row>
    <row r="498">
      <c r="A498" s="30"/>
      <c r="B498" s="23"/>
      <c r="C498" s="23"/>
    </row>
    <row r="499">
      <c r="A499" s="30"/>
      <c r="B499" s="23"/>
      <c r="C499" s="23"/>
    </row>
    <row r="500">
      <c r="A500" s="30"/>
      <c r="B500" s="23"/>
      <c r="C500" s="23"/>
    </row>
    <row r="501">
      <c r="A501" s="30"/>
      <c r="B501" s="23"/>
      <c r="C501" s="23"/>
    </row>
    <row r="502">
      <c r="A502" s="30"/>
      <c r="B502" s="23"/>
      <c r="C502" s="23"/>
    </row>
    <row r="503">
      <c r="A503" s="30"/>
      <c r="B503" s="23"/>
      <c r="C503" s="23"/>
    </row>
    <row r="504">
      <c r="A504" s="30"/>
      <c r="B504" s="23"/>
      <c r="C504" s="23"/>
    </row>
    <row r="505">
      <c r="A505" s="30"/>
      <c r="B505" s="23"/>
      <c r="C505" s="23"/>
    </row>
    <row r="506">
      <c r="A506" s="30"/>
      <c r="B506" s="23"/>
      <c r="C506" s="23"/>
    </row>
    <row r="507">
      <c r="A507" s="30"/>
      <c r="B507" s="23"/>
      <c r="C507" s="23"/>
    </row>
    <row r="508">
      <c r="A508" s="30"/>
      <c r="B508" s="23"/>
      <c r="C508" s="23"/>
    </row>
    <row r="509">
      <c r="A509" s="30"/>
      <c r="B509" s="23"/>
      <c r="C509" s="23"/>
    </row>
    <row r="510">
      <c r="A510" s="30"/>
      <c r="B510" s="23"/>
      <c r="C510" s="23"/>
    </row>
    <row r="511">
      <c r="A511" s="30"/>
      <c r="B511" s="23"/>
      <c r="C511" s="23"/>
    </row>
    <row r="512">
      <c r="A512" s="30"/>
      <c r="B512" s="23"/>
      <c r="C512" s="23"/>
    </row>
    <row r="513">
      <c r="A513" s="30"/>
      <c r="B513" s="23"/>
      <c r="C513" s="23"/>
    </row>
    <row r="514">
      <c r="A514" s="30"/>
      <c r="B514" s="23"/>
      <c r="C514" s="23"/>
    </row>
    <row r="515">
      <c r="A515" s="30"/>
      <c r="B515" s="23"/>
      <c r="C515" s="23"/>
    </row>
    <row r="516">
      <c r="A516" s="30"/>
      <c r="B516" s="23"/>
      <c r="C516" s="23"/>
    </row>
    <row r="517">
      <c r="A517" s="30"/>
      <c r="B517" s="23"/>
      <c r="C517" s="23"/>
    </row>
    <row r="518">
      <c r="A518" s="30"/>
      <c r="B518" s="23"/>
      <c r="C518" s="23"/>
    </row>
    <row r="519">
      <c r="A519" s="30"/>
      <c r="B519" s="23"/>
      <c r="C519" s="23"/>
    </row>
    <row r="520">
      <c r="A520" s="30"/>
      <c r="B520" s="23"/>
      <c r="C520" s="23"/>
    </row>
    <row r="521">
      <c r="A521" s="30"/>
      <c r="B521" s="23"/>
      <c r="C521" s="23"/>
    </row>
    <row r="522">
      <c r="A522" s="30"/>
      <c r="B522" s="23"/>
      <c r="C522" s="23"/>
    </row>
    <row r="523">
      <c r="A523" s="30"/>
      <c r="B523" s="23"/>
      <c r="C523" s="23"/>
    </row>
    <row r="524">
      <c r="A524" s="30"/>
      <c r="B524" s="23"/>
      <c r="C524" s="23"/>
    </row>
    <row r="525">
      <c r="A525" s="30"/>
      <c r="B525" s="23"/>
      <c r="C525" s="23"/>
    </row>
    <row r="526">
      <c r="A526" s="30"/>
      <c r="B526" s="23"/>
      <c r="C526" s="23"/>
    </row>
    <row r="527">
      <c r="A527" s="30"/>
      <c r="B527" s="23"/>
      <c r="C527" s="23"/>
    </row>
    <row r="528">
      <c r="A528" s="30"/>
      <c r="B528" s="23"/>
      <c r="C528" s="23"/>
    </row>
    <row r="529">
      <c r="A529" s="30"/>
      <c r="B529" s="23"/>
      <c r="C529" s="23"/>
    </row>
    <row r="530">
      <c r="A530" s="30"/>
      <c r="B530" s="23"/>
      <c r="C530" s="23"/>
    </row>
    <row r="531">
      <c r="A531" s="30"/>
      <c r="B531" s="23"/>
      <c r="C531" s="23"/>
    </row>
    <row r="532">
      <c r="A532" s="30"/>
      <c r="B532" s="23"/>
      <c r="C532" s="23"/>
    </row>
    <row r="533">
      <c r="A533" s="30"/>
      <c r="B533" s="23"/>
      <c r="C533" s="23"/>
    </row>
    <row r="534">
      <c r="A534" s="30"/>
      <c r="B534" s="23"/>
      <c r="C534" s="23"/>
    </row>
    <row r="535">
      <c r="A535" s="30"/>
      <c r="B535" s="23"/>
      <c r="C535" s="23"/>
    </row>
    <row r="536">
      <c r="A536" s="30"/>
      <c r="B536" s="23"/>
      <c r="C536" s="23"/>
    </row>
    <row r="537">
      <c r="A537" s="30"/>
      <c r="B537" s="23"/>
      <c r="C537" s="23"/>
    </row>
    <row r="538">
      <c r="A538" s="30"/>
      <c r="B538" s="23"/>
      <c r="C538" s="23"/>
    </row>
    <row r="539">
      <c r="A539" s="30"/>
      <c r="B539" s="23"/>
      <c r="C539" s="23"/>
    </row>
    <row r="540">
      <c r="A540" s="30"/>
      <c r="B540" s="23"/>
      <c r="C540" s="23"/>
    </row>
    <row r="541">
      <c r="A541" s="30"/>
      <c r="B541" s="23"/>
      <c r="C541" s="23"/>
    </row>
    <row r="542">
      <c r="A542" s="30"/>
      <c r="B542" s="23"/>
      <c r="C542" s="23"/>
    </row>
    <row r="543">
      <c r="A543" s="30"/>
      <c r="B543" s="23"/>
      <c r="C543" s="23"/>
    </row>
    <row r="544">
      <c r="A544" s="30"/>
      <c r="B544" s="23"/>
      <c r="C544" s="23"/>
    </row>
    <row r="545">
      <c r="A545" s="30"/>
      <c r="B545" s="23"/>
      <c r="C545" s="23"/>
    </row>
    <row r="546">
      <c r="A546" s="30"/>
      <c r="B546" s="23"/>
      <c r="C546" s="23"/>
    </row>
    <row r="547">
      <c r="A547" s="30"/>
      <c r="B547" s="23"/>
      <c r="C547" s="23"/>
    </row>
    <row r="548">
      <c r="A548" s="30"/>
      <c r="B548" s="23"/>
      <c r="C548" s="23"/>
    </row>
    <row r="549">
      <c r="A549" s="30"/>
      <c r="B549" s="23"/>
      <c r="C549" s="23"/>
    </row>
    <row r="550">
      <c r="A550" s="30"/>
      <c r="B550" s="23"/>
      <c r="C550" s="23"/>
    </row>
    <row r="551">
      <c r="A551" s="30"/>
      <c r="B551" s="23"/>
      <c r="C551" s="23"/>
    </row>
    <row r="552">
      <c r="A552" s="30"/>
      <c r="B552" s="23"/>
      <c r="C552" s="23"/>
    </row>
    <row r="553">
      <c r="A553" s="30"/>
      <c r="B553" s="23"/>
      <c r="C553" s="23"/>
    </row>
    <row r="554">
      <c r="A554" s="30"/>
      <c r="B554" s="23"/>
      <c r="C554" s="23"/>
    </row>
    <row r="555">
      <c r="A555" s="30"/>
      <c r="B555" s="23"/>
      <c r="C555" s="23"/>
    </row>
    <row r="556">
      <c r="A556" s="30"/>
      <c r="B556" s="23"/>
      <c r="C556" s="23"/>
    </row>
    <row r="557">
      <c r="A557" s="30"/>
      <c r="B557" s="23"/>
      <c r="C557" s="23"/>
    </row>
    <row r="558">
      <c r="A558" s="30"/>
      <c r="B558" s="23"/>
      <c r="C558" s="23"/>
    </row>
    <row r="559">
      <c r="A559" s="30"/>
      <c r="B559" s="23"/>
      <c r="C559" s="23"/>
    </row>
    <row r="560">
      <c r="A560" s="30"/>
      <c r="B560" s="23"/>
      <c r="C560" s="23"/>
    </row>
    <row r="561">
      <c r="A561" s="30"/>
      <c r="B561" s="23"/>
      <c r="C561" s="23"/>
    </row>
    <row r="562">
      <c r="A562" s="30"/>
      <c r="B562" s="23"/>
      <c r="C562" s="23"/>
    </row>
    <row r="563">
      <c r="A563" s="30"/>
      <c r="B563" s="23"/>
      <c r="C563" s="23"/>
    </row>
    <row r="564">
      <c r="A564" s="30"/>
      <c r="B564" s="23"/>
      <c r="C564" s="23"/>
    </row>
    <row r="565">
      <c r="A565" s="30"/>
      <c r="B565" s="23"/>
      <c r="C565" s="23"/>
    </row>
    <row r="566">
      <c r="A566" s="30"/>
      <c r="B566" s="23"/>
      <c r="C566" s="23"/>
    </row>
    <row r="567">
      <c r="A567" s="30"/>
      <c r="B567" s="23"/>
      <c r="C567" s="23"/>
    </row>
    <row r="568">
      <c r="A568" s="30"/>
      <c r="B568" s="23"/>
      <c r="C568" s="23"/>
    </row>
    <row r="569">
      <c r="A569" s="30"/>
      <c r="B569" s="23"/>
      <c r="C569" s="23"/>
    </row>
    <row r="570">
      <c r="A570" s="30"/>
      <c r="B570" s="23"/>
      <c r="C570" s="23"/>
    </row>
    <row r="571">
      <c r="A571" s="30"/>
      <c r="B571" s="23"/>
      <c r="C571" s="23"/>
    </row>
    <row r="572">
      <c r="A572" s="30"/>
      <c r="B572" s="23"/>
      <c r="C572" s="23"/>
    </row>
    <row r="573">
      <c r="A573" s="30"/>
      <c r="B573" s="23"/>
      <c r="C573" s="23"/>
    </row>
    <row r="574">
      <c r="A574" s="30"/>
      <c r="B574" s="23"/>
      <c r="C574" s="23"/>
    </row>
    <row r="575">
      <c r="A575" s="30"/>
      <c r="B575" s="23"/>
      <c r="C575" s="23"/>
    </row>
    <row r="576">
      <c r="A576" s="30"/>
      <c r="B576" s="23"/>
      <c r="C576" s="23"/>
    </row>
    <row r="577">
      <c r="A577" s="30"/>
      <c r="B577" s="23"/>
      <c r="C577" s="23"/>
    </row>
    <row r="578">
      <c r="A578" s="30"/>
      <c r="B578" s="23"/>
      <c r="C578" s="23"/>
    </row>
    <row r="579">
      <c r="A579" s="30"/>
      <c r="B579" s="23"/>
      <c r="C579" s="23"/>
    </row>
    <row r="580">
      <c r="A580" s="30"/>
      <c r="B580" s="23"/>
      <c r="C580" s="23"/>
    </row>
    <row r="581">
      <c r="A581" s="30"/>
      <c r="B581" s="23"/>
      <c r="C581" s="23"/>
    </row>
    <row r="582">
      <c r="A582" s="30"/>
      <c r="B582" s="23"/>
      <c r="C582" s="23"/>
    </row>
    <row r="583">
      <c r="A583" s="30"/>
      <c r="B583" s="23"/>
      <c r="C583" s="23"/>
    </row>
    <row r="584">
      <c r="A584" s="30"/>
      <c r="B584" s="23"/>
      <c r="C584" s="23"/>
    </row>
    <row r="585">
      <c r="A585" s="30"/>
      <c r="B585" s="23"/>
      <c r="C585" s="23"/>
    </row>
    <row r="586">
      <c r="A586" s="30"/>
      <c r="B586" s="23"/>
      <c r="C586" s="23"/>
    </row>
    <row r="587">
      <c r="A587" s="30"/>
      <c r="B587" s="23"/>
      <c r="C587" s="23"/>
    </row>
    <row r="588">
      <c r="A588" s="30"/>
      <c r="B588" s="23"/>
      <c r="C588" s="23"/>
    </row>
    <row r="589">
      <c r="A589" s="30"/>
      <c r="B589" s="23"/>
      <c r="C589" s="23"/>
    </row>
    <row r="590">
      <c r="A590" s="30"/>
      <c r="B590" s="23"/>
      <c r="C590" s="23"/>
    </row>
    <row r="591">
      <c r="A591" s="30"/>
      <c r="B591" s="23"/>
      <c r="C591" s="23"/>
    </row>
    <row r="592">
      <c r="A592" s="30"/>
      <c r="B592" s="23"/>
      <c r="C592" s="23"/>
    </row>
    <row r="593">
      <c r="A593" s="30"/>
      <c r="B593" s="23"/>
      <c r="C593" s="23"/>
    </row>
    <row r="594">
      <c r="A594" s="30"/>
      <c r="B594" s="23"/>
      <c r="C594" s="23"/>
    </row>
    <row r="595">
      <c r="A595" s="30"/>
      <c r="B595" s="23"/>
      <c r="C595" s="23"/>
    </row>
    <row r="596">
      <c r="A596" s="30"/>
      <c r="B596" s="23"/>
      <c r="C596" s="23"/>
    </row>
    <row r="597">
      <c r="A597" s="30"/>
      <c r="B597" s="23"/>
      <c r="C597" s="23"/>
    </row>
    <row r="598">
      <c r="A598" s="30"/>
      <c r="B598" s="23"/>
      <c r="C598" s="23"/>
    </row>
    <row r="599">
      <c r="A599" s="30"/>
      <c r="B599" s="23"/>
      <c r="C599" s="23"/>
    </row>
    <row r="600">
      <c r="A600" s="30"/>
      <c r="B600" s="23"/>
      <c r="C600" s="23"/>
    </row>
    <row r="601">
      <c r="A601" s="30"/>
      <c r="B601" s="23"/>
      <c r="C601" s="23"/>
    </row>
    <row r="602">
      <c r="A602" s="30"/>
      <c r="B602" s="23"/>
      <c r="C602" s="23"/>
    </row>
    <row r="603">
      <c r="A603" s="30"/>
      <c r="B603" s="23"/>
      <c r="C603" s="23"/>
    </row>
    <row r="604">
      <c r="A604" s="30"/>
      <c r="B604" s="23"/>
      <c r="C604" s="23"/>
    </row>
    <row r="605">
      <c r="A605" s="30"/>
      <c r="B605" s="23"/>
      <c r="C605" s="23"/>
    </row>
    <row r="606">
      <c r="A606" s="30"/>
      <c r="B606" s="23"/>
      <c r="C606" s="23"/>
    </row>
    <row r="607">
      <c r="A607" s="30"/>
      <c r="B607" s="23"/>
      <c r="C607" s="23"/>
    </row>
    <row r="608">
      <c r="A608" s="30"/>
      <c r="B608" s="23"/>
      <c r="C608" s="23"/>
    </row>
    <row r="609">
      <c r="A609" s="30"/>
      <c r="B609" s="23"/>
      <c r="C609" s="23"/>
    </row>
    <row r="610">
      <c r="A610" s="30"/>
      <c r="B610" s="23"/>
      <c r="C610" s="23"/>
    </row>
    <row r="611">
      <c r="A611" s="30"/>
      <c r="B611" s="23"/>
      <c r="C611" s="23"/>
    </row>
    <row r="612">
      <c r="A612" s="30"/>
      <c r="B612" s="23"/>
      <c r="C612" s="23"/>
    </row>
    <row r="613">
      <c r="A613" s="30"/>
      <c r="B613" s="23"/>
      <c r="C613" s="23"/>
    </row>
    <row r="614">
      <c r="A614" s="30"/>
      <c r="B614" s="23"/>
      <c r="C614" s="23"/>
    </row>
    <row r="615">
      <c r="A615" s="30"/>
      <c r="B615" s="23"/>
      <c r="C615" s="23"/>
    </row>
    <row r="616">
      <c r="A616" s="30"/>
      <c r="B616" s="23"/>
      <c r="C616" s="23"/>
    </row>
    <row r="617">
      <c r="A617" s="30"/>
      <c r="B617" s="23"/>
      <c r="C617" s="23"/>
    </row>
    <row r="618">
      <c r="A618" s="30"/>
      <c r="B618" s="23"/>
      <c r="C618" s="23"/>
    </row>
    <row r="619">
      <c r="A619" s="30"/>
      <c r="B619" s="23"/>
      <c r="C619" s="23"/>
    </row>
    <row r="620">
      <c r="A620" s="30"/>
      <c r="B620" s="23"/>
      <c r="C620" s="23"/>
    </row>
    <row r="621">
      <c r="A621" s="30"/>
      <c r="B621" s="23"/>
      <c r="C621" s="23"/>
    </row>
    <row r="622">
      <c r="A622" s="30"/>
      <c r="B622" s="23"/>
      <c r="C622" s="23"/>
    </row>
    <row r="623">
      <c r="A623" s="30"/>
      <c r="B623" s="23"/>
      <c r="C623" s="23"/>
    </row>
    <row r="624">
      <c r="A624" s="30"/>
      <c r="B624" s="23"/>
      <c r="C624" s="23"/>
    </row>
    <row r="625">
      <c r="A625" s="30"/>
      <c r="B625" s="23"/>
      <c r="C625" s="23"/>
    </row>
    <row r="626">
      <c r="A626" s="30"/>
      <c r="B626" s="23"/>
      <c r="C626" s="23"/>
    </row>
    <row r="627">
      <c r="A627" s="30"/>
      <c r="B627" s="23"/>
      <c r="C627" s="23"/>
    </row>
    <row r="628">
      <c r="A628" s="30"/>
      <c r="B628" s="23"/>
      <c r="C628" s="23"/>
    </row>
    <row r="629">
      <c r="A629" s="30"/>
      <c r="B629" s="23"/>
      <c r="C629" s="23"/>
    </row>
    <row r="630">
      <c r="A630" s="30"/>
      <c r="B630" s="23"/>
      <c r="C630" s="23"/>
    </row>
    <row r="631">
      <c r="A631" s="30"/>
      <c r="B631" s="23"/>
      <c r="C631" s="23"/>
    </row>
    <row r="632">
      <c r="A632" s="30"/>
      <c r="B632" s="23"/>
      <c r="C632" s="23"/>
    </row>
    <row r="633">
      <c r="A633" s="30"/>
      <c r="B633" s="23"/>
      <c r="C633" s="23"/>
    </row>
    <row r="634">
      <c r="A634" s="30"/>
      <c r="B634" s="23"/>
      <c r="C634" s="23"/>
    </row>
    <row r="635">
      <c r="A635" s="30"/>
      <c r="B635" s="23"/>
      <c r="C635" s="23"/>
    </row>
    <row r="636">
      <c r="A636" s="30"/>
      <c r="B636" s="23"/>
      <c r="C636" s="23"/>
    </row>
    <row r="637">
      <c r="A637" s="30"/>
      <c r="B637" s="23"/>
      <c r="C637" s="23"/>
    </row>
    <row r="638">
      <c r="A638" s="30"/>
      <c r="B638" s="23"/>
      <c r="C638" s="23"/>
    </row>
    <row r="639">
      <c r="A639" s="30"/>
      <c r="B639" s="23"/>
      <c r="C639" s="23"/>
    </row>
    <row r="640">
      <c r="A640" s="30"/>
      <c r="B640" s="23"/>
      <c r="C640" s="23"/>
    </row>
    <row r="641">
      <c r="A641" s="30"/>
      <c r="B641" s="23"/>
      <c r="C641" s="23"/>
    </row>
    <row r="642">
      <c r="A642" s="30"/>
      <c r="B642" s="23"/>
      <c r="C642" s="23"/>
    </row>
    <row r="643">
      <c r="A643" s="30"/>
      <c r="B643" s="23"/>
      <c r="C643" s="23"/>
    </row>
    <row r="644">
      <c r="A644" s="30"/>
      <c r="B644" s="23"/>
      <c r="C644" s="23"/>
    </row>
    <row r="645">
      <c r="A645" s="30"/>
      <c r="B645" s="23"/>
      <c r="C645" s="23"/>
    </row>
    <row r="646">
      <c r="A646" s="30"/>
      <c r="B646" s="23"/>
      <c r="C646" s="23"/>
    </row>
    <row r="647">
      <c r="A647" s="30"/>
      <c r="B647" s="23"/>
      <c r="C647" s="23"/>
    </row>
    <row r="648">
      <c r="A648" s="30"/>
      <c r="B648" s="23"/>
      <c r="C648" s="23"/>
    </row>
    <row r="649">
      <c r="A649" s="30"/>
      <c r="B649" s="23"/>
      <c r="C649" s="23"/>
    </row>
    <row r="650">
      <c r="A650" s="30"/>
      <c r="B650" s="23"/>
      <c r="C650" s="23"/>
    </row>
    <row r="651">
      <c r="A651" s="30"/>
      <c r="B651" s="23"/>
      <c r="C651" s="23"/>
    </row>
    <row r="652">
      <c r="A652" s="30"/>
      <c r="B652" s="23"/>
      <c r="C652" s="23"/>
    </row>
    <row r="653">
      <c r="A653" s="30"/>
      <c r="B653" s="23"/>
      <c r="C653" s="23"/>
    </row>
    <row r="654">
      <c r="A654" s="30"/>
      <c r="B654" s="23"/>
      <c r="C654" s="23"/>
    </row>
    <row r="655">
      <c r="A655" s="30"/>
      <c r="B655" s="23"/>
      <c r="C655" s="23"/>
    </row>
    <row r="656">
      <c r="A656" s="30"/>
      <c r="B656" s="23"/>
      <c r="C656" s="23"/>
    </row>
    <row r="657">
      <c r="A657" s="30"/>
      <c r="B657" s="23"/>
      <c r="C657" s="23"/>
    </row>
    <row r="658">
      <c r="A658" s="30"/>
      <c r="B658" s="23"/>
      <c r="C658" s="23"/>
    </row>
    <row r="659">
      <c r="A659" s="30"/>
      <c r="B659" s="23"/>
      <c r="C659" s="23"/>
    </row>
    <row r="660">
      <c r="A660" s="30"/>
      <c r="B660" s="23"/>
      <c r="C660" s="23"/>
    </row>
    <row r="661">
      <c r="A661" s="30"/>
      <c r="B661" s="23"/>
      <c r="C661" s="23"/>
    </row>
    <row r="662">
      <c r="A662" s="30"/>
      <c r="B662" s="23"/>
      <c r="C662" s="23"/>
    </row>
    <row r="663">
      <c r="A663" s="30"/>
      <c r="B663" s="23"/>
      <c r="C663" s="23"/>
    </row>
    <row r="664">
      <c r="A664" s="30"/>
      <c r="B664" s="23"/>
      <c r="C664" s="23"/>
    </row>
    <row r="665">
      <c r="A665" s="30"/>
      <c r="B665" s="23"/>
      <c r="C665" s="23"/>
    </row>
    <row r="666">
      <c r="A666" s="30"/>
      <c r="B666" s="23"/>
      <c r="C666" s="23"/>
    </row>
    <row r="667">
      <c r="A667" s="30"/>
      <c r="B667" s="23"/>
      <c r="C667" s="23"/>
    </row>
    <row r="668">
      <c r="A668" s="30"/>
      <c r="B668" s="23"/>
      <c r="C668" s="23"/>
    </row>
    <row r="669">
      <c r="A669" s="30"/>
      <c r="B669" s="23"/>
      <c r="C669" s="23"/>
    </row>
    <row r="670">
      <c r="A670" s="30"/>
      <c r="B670" s="23"/>
      <c r="C670" s="23"/>
    </row>
    <row r="671">
      <c r="A671" s="30"/>
      <c r="B671" s="23"/>
      <c r="C671" s="23"/>
    </row>
    <row r="672">
      <c r="A672" s="30"/>
      <c r="B672" s="23"/>
      <c r="C672" s="23"/>
    </row>
    <row r="673">
      <c r="A673" s="30"/>
      <c r="B673" s="23"/>
      <c r="C673" s="23"/>
    </row>
    <row r="674">
      <c r="A674" s="30"/>
      <c r="B674" s="23"/>
      <c r="C674" s="23"/>
    </row>
    <row r="675">
      <c r="A675" s="30"/>
      <c r="B675" s="23"/>
      <c r="C675" s="23"/>
    </row>
    <row r="676">
      <c r="A676" s="30"/>
      <c r="B676" s="23"/>
      <c r="C676" s="23"/>
    </row>
    <row r="677">
      <c r="A677" s="30"/>
      <c r="B677" s="23"/>
      <c r="C677" s="23"/>
    </row>
    <row r="678">
      <c r="A678" s="30"/>
      <c r="B678" s="23"/>
      <c r="C678" s="23"/>
    </row>
    <row r="679">
      <c r="A679" s="30"/>
      <c r="B679" s="23"/>
      <c r="C679" s="23"/>
    </row>
    <row r="680">
      <c r="A680" s="30"/>
      <c r="B680" s="23"/>
      <c r="C680" s="23"/>
    </row>
    <row r="681">
      <c r="A681" s="30"/>
      <c r="B681" s="23"/>
      <c r="C681" s="23"/>
    </row>
    <row r="682">
      <c r="A682" s="30"/>
      <c r="B682" s="23"/>
      <c r="C682" s="23"/>
    </row>
    <row r="683">
      <c r="A683" s="30"/>
      <c r="B683" s="23"/>
      <c r="C683" s="23"/>
    </row>
    <row r="684">
      <c r="A684" s="30"/>
      <c r="B684" s="23"/>
      <c r="C684" s="23"/>
    </row>
    <row r="685">
      <c r="A685" s="30"/>
      <c r="B685" s="23"/>
      <c r="C685" s="23"/>
    </row>
    <row r="686">
      <c r="A686" s="30"/>
      <c r="B686" s="23"/>
      <c r="C686" s="23"/>
    </row>
    <row r="687">
      <c r="A687" s="30"/>
      <c r="B687" s="23"/>
      <c r="C687" s="23"/>
    </row>
    <row r="688">
      <c r="A688" s="30"/>
      <c r="B688" s="23"/>
      <c r="C688" s="23"/>
    </row>
    <row r="689">
      <c r="A689" s="30"/>
      <c r="B689" s="23"/>
      <c r="C689" s="23"/>
    </row>
    <row r="690">
      <c r="A690" s="30"/>
      <c r="B690" s="23"/>
      <c r="C690" s="23"/>
    </row>
    <row r="691">
      <c r="A691" s="30"/>
      <c r="B691" s="23"/>
      <c r="C691" s="23"/>
    </row>
    <row r="692">
      <c r="A692" s="30"/>
      <c r="B692" s="23"/>
      <c r="C692" s="23"/>
    </row>
    <row r="693">
      <c r="A693" s="30"/>
      <c r="B693" s="23"/>
      <c r="C693" s="23"/>
    </row>
    <row r="694">
      <c r="A694" s="30"/>
      <c r="B694" s="23"/>
      <c r="C694" s="23"/>
    </row>
    <row r="695">
      <c r="A695" s="30"/>
      <c r="B695" s="23"/>
      <c r="C695" s="23"/>
    </row>
    <row r="696">
      <c r="A696" s="30"/>
      <c r="B696" s="23"/>
      <c r="C696" s="23"/>
    </row>
    <row r="697">
      <c r="A697" s="30"/>
      <c r="B697" s="23"/>
      <c r="C697" s="23"/>
    </row>
    <row r="698">
      <c r="A698" s="30"/>
      <c r="B698" s="23"/>
      <c r="C698" s="23"/>
    </row>
    <row r="699">
      <c r="A699" s="30"/>
      <c r="B699" s="23"/>
      <c r="C699" s="23"/>
    </row>
    <row r="700">
      <c r="A700" s="30"/>
      <c r="B700" s="23"/>
      <c r="C700" s="23"/>
    </row>
    <row r="701">
      <c r="A701" s="30"/>
      <c r="B701" s="23"/>
      <c r="C701" s="23"/>
    </row>
    <row r="702">
      <c r="A702" s="30"/>
      <c r="B702" s="23"/>
      <c r="C702" s="23"/>
    </row>
    <row r="703">
      <c r="A703" s="30"/>
      <c r="B703" s="23"/>
      <c r="C703" s="23"/>
    </row>
    <row r="704">
      <c r="A704" s="30"/>
      <c r="B704" s="23"/>
      <c r="C704" s="23"/>
    </row>
    <row r="705">
      <c r="A705" s="30"/>
      <c r="B705" s="23"/>
      <c r="C705" s="23"/>
    </row>
    <row r="706">
      <c r="A706" s="30"/>
      <c r="B706" s="23"/>
      <c r="C706" s="23"/>
    </row>
    <row r="707">
      <c r="A707" s="30"/>
      <c r="B707" s="23"/>
      <c r="C707" s="23"/>
    </row>
    <row r="708">
      <c r="A708" s="30"/>
      <c r="B708" s="23"/>
      <c r="C708" s="23"/>
    </row>
    <row r="709">
      <c r="A709" s="30"/>
      <c r="B709" s="23"/>
      <c r="C709" s="23"/>
    </row>
    <row r="710">
      <c r="A710" s="30"/>
      <c r="B710" s="23"/>
      <c r="C710" s="23"/>
    </row>
    <row r="711">
      <c r="A711" s="30"/>
      <c r="B711" s="23"/>
      <c r="C711" s="23"/>
    </row>
    <row r="712">
      <c r="A712" s="30"/>
      <c r="B712" s="23"/>
      <c r="C712" s="23"/>
    </row>
    <row r="713">
      <c r="A713" s="30"/>
      <c r="B713" s="23"/>
      <c r="C713" s="23"/>
    </row>
    <row r="714">
      <c r="A714" s="30"/>
      <c r="B714" s="23"/>
      <c r="C714" s="23"/>
    </row>
    <row r="715">
      <c r="A715" s="30"/>
      <c r="B715" s="23"/>
      <c r="C715" s="23"/>
    </row>
    <row r="716">
      <c r="A716" s="30"/>
      <c r="B716" s="23"/>
      <c r="C716" s="23"/>
    </row>
    <row r="717">
      <c r="A717" s="30"/>
      <c r="B717" s="23"/>
      <c r="C717" s="23"/>
    </row>
    <row r="718">
      <c r="A718" s="30"/>
      <c r="B718" s="23"/>
      <c r="C718" s="23"/>
    </row>
    <row r="719">
      <c r="A719" s="30"/>
      <c r="B719" s="23"/>
      <c r="C719" s="23"/>
    </row>
    <row r="720">
      <c r="A720" s="30"/>
      <c r="B720" s="23"/>
      <c r="C720" s="23"/>
    </row>
    <row r="721">
      <c r="A721" s="30"/>
      <c r="B721" s="23"/>
      <c r="C721" s="23"/>
    </row>
    <row r="722">
      <c r="A722" s="30"/>
      <c r="B722" s="23"/>
      <c r="C722" s="23"/>
    </row>
    <row r="723">
      <c r="A723" s="30"/>
      <c r="B723" s="23"/>
      <c r="C723" s="23"/>
    </row>
    <row r="724">
      <c r="A724" s="30"/>
      <c r="B724" s="23"/>
      <c r="C724" s="23"/>
    </row>
    <row r="725">
      <c r="A725" s="30"/>
      <c r="B725" s="23"/>
      <c r="C725" s="23"/>
    </row>
    <row r="726">
      <c r="A726" s="30"/>
      <c r="B726" s="23"/>
      <c r="C726" s="23"/>
    </row>
    <row r="727">
      <c r="A727" s="30"/>
      <c r="B727" s="23"/>
      <c r="C727" s="23"/>
    </row>
    <row r="728">
      <c r="A728" s="30"/>
      <c r="B728" s="23"/>
      <c r="C728" s="23"/>
    </row>
    <row r="729">
      <c r="A729" s="30"/>
      <c r="B729" s="23"/>
      <c r="C729" s="23"/>
    </row>
    <row r="730">
      <c r="A730" s="30"/>
      <c r="B730" s="23"/>
      <c r="C730" s="23"/>
    </row>
    <row r="731">
      <c r="A731" s="30"/>
      <c r="B731" s="23"/>
      <c r="C731" s="23"/>
    </row>
    <row r="732">
      <c r="A732" s="30"/>
      <c r="B732" s="23"/>
      <c r="C732" s="23"/>
    </row>
    <row r="733">
      <c r="A733" s="30"/>
      <c r="B733" s="23"/>
      <c r="C733" s="23"/>
    </row>
    <row r="734">
      <c r="A734" s="30"/>
      <c r="B734" s="23"/>
      <c r="C734" s="23"/>
    </row>
    <row r="735">
      <c r="A735" s="30"/>
      <c r="B735" s="23"/>
      <c r="C735" s="23"/>
    </row>
    <row r="736">
      <c r="A736" s="30"/>
      <c r="B736" s="23"/>
      <c r="C736" s="23"/>
    </row>
    <row r="737">
      <c r="A737" s="30"/>
      <c r="B737" s="23"/>
      <c r="C737" s="23"/>
    </row>
    <row r="738">
      <c r="A738" s="30"/>
      <c r="B738" s="23"/>
      <c r="C738" s="23"/>
    </row>
    <row r="739">
      <c r="A739" s="30"/>
      <c r="B739" s="23"/>
      <c r="C739" s="23"/>
    </row>
    <row r="740">
      <c r="A740" s="30"/>
      <c r="B740" s="23"/>
      <c r="C740" s="23"/>
    </row>
    <row r="741">
      <c r="A741" s="30"/>
      <c r="B741" s="23"/>
      <c r="C741" s="23"/>
    </row>
    <row r="742">
      <c r="A742" s="30"/>
      <c r="B742" s="23"/>
      <c r="C742" s="23"/>
    </row>
    <row r="743">
      <c r="A743" s="30"/>
      <c r="B743" s="23"/>
      <c r="C743" s="23"/>
    </row>
    <row r="744">
      <c r="A744" s="30"/>
      <c r="B744" s="23"/>
      <c r="C744" s="23"/>
    </row>
    <row r="745">
      <c r="A745" s="30"/>
      <c r="B745" s="23"/>
      <c r="C745" s="23"/>
    </row>
    <row r="746">
      <c r="A746" s="30"/>
      <c r="B746" s="23"/>
      <c r="C746" s="23"/>
    </row>
    <row r="747">
      <c r="A747" s="30"/>
      <c r="B747" s="23"/>
      <c r="C747" s="23"/>
    </row>
    <row r="748">
      <c r="A748" s="30"/>
      <c r="B748" s="23"/>
      <c r="C748" s="23"/>
    </row>
    <row r="749">
      <c r="A749" s="30"/>
      <c r="B749" s="23"/>
      <c r="C749" s="23"/>
    </row>
    <row r="750">
      <c r="A750" s="30"/>
      <c r="B750" s="23"/>
      <c r="C750" s="23"/>
    </row>
    <row r="751">
      <c r="A751" s="30"/>
      <c r="B751" s="23"/>
      <c r="C751" s="23"/>
    </row>
    <row r="752">
      <c r="A752" s="30"/>
      <c r="B752" s="23"/>
      <c r="C752" s="23"/>
    </row>
    <row r="753">
      <c r="A753" s="30"/>
      <c r="B753" s="23"/>
      <c r="C753" s="23"/>
    </row>
    <row r="754">
      <c r="A754" s="30"/>
      <c r="B754" s="23"/>
      <c r="C754" s="23"/>
    </row>
    <row r="755">
      <c r="A755" s="30"/>
      <c r="B755" s="23"/>
      <c r="C755" s="23"/>
    </row>
    <row r="756">
      <c r="A756" s="30"/>
      <c r="B756" s="23"/>
      <c r="C756" s="23"/>
    </row>
    <row r="757">
      <c r="A757" s="30"/>
      <c r="B757" s="23"/>
      <c r="C757" s="23"/>
    </row>
    <row r="758">
      <c r="A758" s="30"/>
      <c r="B758" s="23"/>
      <c r="C758" s="23"/>
    </row>
    <row r="759">
      <c r="A759" s="30"/>
      <c r="B759" s="23"/>
      <c r="C759" s="23"/>
    </row>
    <row r="760">
      <c r="A760" s="30"/>
      <c r="B760" s="23"/>
      <c r="C760" s="23"/>
    </row>
    <row r="761">
      <c r="A761" s="30"/>
      <c r="B761" s="23"/>
      <c r="C761" s="23"/>
    </row>
    <row r="762">
      <c r="A762" s="30"/>
      <c r="B762" s="23"/>
      <c r="C762" s="23"/>
    </row>
    <row r="763">
      <c r="A763" s="30"/>
      <c r="B763" s="23"/>
      <c r="C763" s="23"/>
    </row>
    <row r="764">
      <c r="A764" s="30"/>
      <c r="B764" s="23"/>
      <c r="C764" s="23"/>
    </row>
    <row r="765">
      <c r="A765" s="30"/>
      <c r="B765" s="23"/>
      <c r="C765" s="23"/>
    </row>
    <row r="766">
      <c r="A766" s="30"/>
      <c r="B766" s="23"/>
      <c r="C766" s="23"/>
    </row>
    <row r="767">
      <c r="A767" s="30"/>
      <c r="B767" s="23"/>
      <c r="C767" s="23"/>
    </row>
    <row r="768">
      <c r="A768" s="30"/>
      <c r="B768" s="23"/>
      <c r="C768" s="23"/>
    </row>
    <row r="769">
      <c r="A769" s="30"/>
      <c r="B769" s="23"/>
      <c r="C769" s="23"/>
    </row>
    <row r="770">
      <c r="A770" s="30"/>
      <c r="B770" s="23"/>
      <c r="C770" s="23"/>
    </row>
    <row r="771">
      <c r="A771" s="30"/>
      <c r="B771" s="23"/>
      <c r="C771" s="23"/>
    </row>
    <row r="772">
      <c r="A772" s="30"/>
      <c r="B772" s="23"/>
      <c r="C772" s="23"/>
    </row>
    <row r="773">
      <c r="A773" s="30"/>
      <c r="B773" s="23"/>
      <c r="C773" s="23"/>
    </row>
    <row r="774">
      <c r="A774" s="30"/>
      <c r="B774" s="23"/>
      <c r="C774" s="23"/>
    </row>
    <row r="775">
      <c r="A775" s="30"/>
      <c r="B775" s="23"/>
      <c r="C775" s="23"/>
    </row>
    <row r="776">
      <c r="A776" s="30"/>
      <c r="B776" s="23"/>
      <c r="C776" s="23"/>
    </row>
    <row r="777">
      <c r="A777" s="30"/>
      <c r="B777" s="23"/>
      <c r="C777" s="23"/>
    </row>
    <row r="778">
      <c r="A778" s="30"/>
      <c r="B778" s="23"/>
      <c r="C778" s="23"/>
    </row>
    <row r="779">
      <c r="A779" s="30"/>
      <c r="B779" s="23"/>
      <c r="C779" s="23"/>
    </row>
    <row r="780">
      <c r="A780" s="30"/>
      <c r="B780" s="23"/>
      <c r="C780" s="23"/>
    </row>
    <row r="781">
      <c r="A781" s="30"/>
      <c r="B781" s="23"/>
      <c r="C781" s="23"/>
    </row>
    <row r="782">
      <c r="A782" s="30"/>
      <c r="B782" s="23"/>
      <c r="C782" s="23"/>
    </row>
    <row r="783">
      <c r="A783" s="30"/>
      <c r="B783" s="23"/>
      <c r="C783" s="23"/>
    </row>
    <row r="784">
      <c r="A784" s="30"/>
      <c r="B784" s="23"/>
      <c r="C784" s="23"/>
    </row>
    <row r="785">
      <c r="A785" s="30"/>
      <c r="B785" s="23"/>
      <c r="C785" s="23"/>
    </row>
    <row r="786">
      <c r="A786" s="30"/>
      <c r="B786" s="23"/>
      <c r="C786" s="23"/>
    </row>
    <row r="787">
      <c r="A787" s="30"/>
      <c r="B787" s="23"/>
      <c r="C787" s="23"/>
    </row>
    <row r="788">
      <c r="A788" s="30"/>
      <c r="B788" s="23"/>
      <c r="C788" s="23"/>
    </row>
    <row r="789">
      <c r="A789" s="30"/>
      <c r="B789" s="23"/>
      <c r="C789" s="23"/>
    </row>
    <row r="790">
      <c r="A790" s="30"/>
      <c r="B790" s="23"/>
      <c r="C790" s="23"/>
    </row>
    <row r="791">
      <c r="A791" s="30"/>
      <c r="B791" s="23"/>
      <c r="C791" s="23"/>
    </row>
    <row r="792">
      <c r="A792" s="30"/>
      <c r="B792" s="23"/>
      <c r="C792" s="23"/>
    </row>
    <row r="793">
      <c r="A793" s="30"/>
      <c r="B793" s="23"/>
      <c r="C793" s="23"/>
    </row>
    <row r="794">
      <c r="A794" s="30"/>
      <c r="B794" s="23"/>
      <c r="C794" s="23"/>
    </row>
    <row r="795">
      <c r="A795" s="30"/>
      <c r="B795" s="23"/>
      <c r="C795" s="23"/>
    </row>
    <row r="796">
      <c r="A796" s="30"/>
      <c r="B796" s="23"/>
      <c r="C796" s="23"/>
    </row>
    <row r="797">
      <c r="A797" s="30"/>
      <c r="B797" s="23"/>
      <c r="C797" s="23"/>
    </row>
    <row r="798">
      <c r="A798" s="30"/>
      <c r="B798" s="23"/>
      <c r="C798" s="23"/>
    </row>
    <row r="799">
      <c r="A799" s="30"/>
      <c r="B799" s="23"/>
      <c r="C799" s="23"/>
    </row>
    <row r="800">
      <c r="A800" s="30"/>
      <c r="B800" s="23"/>
      <c r="C800" s="23"/>
    </row>
    <row r="801">
      <c r="A801" s="30"/>
      <c r="B801" s="23"/>
      <c r="C801" s="23"/>
    </row>
    <row r="802">
      <c r="A802" s="30"/>
      <c r="B802" s="23"/>
      <c r="C802" s="23"/>
    </row>
    <row r="803">
      <c r="A803" s="30"/>
      <c r="B803" s="23"/>
      <c r="C803" s="23"/>
    </row>
    <row r="804">
      <c r="A804" s="30"/>
      <c r="B804" s="23"/>
      <c r="C804" s="23"/>
    </row>
    <row r="805">
      <c r="A805" s="30"/>
      <c r="B805" s="23"/>
      <c r="C805" s="23"/>
    </row>
    <row r="806">
      <c r="A806" s="30"/>
      <c r="B806" s="23"/>
      <c r="C806" s="23"/>
    </row>
    <row r="807">
      <c r="A807" s="30"/>
      <c r="B807" s="23"/>
      <c r="C807" s="23"/>
    </row>
    <row r="808">
      <c r="A808" s="30"/>
      <c r="B808" s="23"/>
      <c r="C808" s="23"/>
    </row>
    <row r="809">
      <c r="A809" s="30"/>
      <c r="B809" s="23"/>
      <c r="C809" s="23"/>
    </row>
    <row r="810">
      <c r="A810" s="30"/>
      <c r="B810" s="23"/>
      <c r="C810" s="23"/>
    </row>
    <row r="811">
      <c r="A811" s="30"/>
      <c r="B811" s="23"/>
      <c r="C811" s="23"/>
    </row>
    <row r="812">
      <c r="A812" s="30"/>
      <c r="B812" s="23"/>
      <c r="C812" s="23"/>
    </row>
    <row r="813">
      <c r="A813" s="30"/>
      <c r="B813" s="23"/>
      <c r="C813" s="23"/>
    </row>
    <row r="814">
      <c r="A814" s="30"/>
      <c r="B814" s="23"/>
      <c r="C814" s="23"/>
    </row>
    <row r="815">
      <c r="A815" s="30"/>
      <c r="B815" s="23"/>
      <c r="C815" s="23"/>
    </row>
    <row r="816">
      <c r="A816" s="30"/>
      <c r="B816" s="23"/>
      <c r="C816" s="23"/>
    </row>
    <row r="817">
      <c r="A817" s="30"/>
      <c r="B817" s="23"/>
      <c r="C817" s="23"/>
    </row>
    <row r="818">
      <c r="A818" s="30"/>
      <c r="B818" s="23"/>
      <c r="C818" s="23"/>
    </row>
    <row r="819">
      <c r="A819" s="30"/>
      <c r="B819" s="23"/>
      <c r="C819" s="23"/>
    </row>
    <row r="820">
      <c r="A820" s="30"/>
      <c r="B820" s="23"/>
      <c r="C820" s="23"/>
    </row>
    <row r="821">
      <c r="A821" s="30"/>
      <c r="B821" s="23"/>
      <c r="C821" s="23"/>
    </row>
    <row r="822">
      <c r="A822" s="30"/>
      <c r="B822" s="23"/>
      <c r="C822" s="23"/>
    </row>
    <row r="823">
      <c r="A823" s="30"/>
      <c r="B823" s="23"/>
      <c r="C823" s="23"/>
    </row>
    <row r="824">
      <c r="A824" s="30"/>
      <c r="B824" s="23"/>
      <c r="C824" s="23"/>
    </row>
    <row r="825">
      <c r="A825" s="30"/>
      <c r="B825" s="23"/>
      <c r="C825" s="23"/>
    </row>
    <row r="826">
      <c r="A826" s="30"/>
      <c r="B826" s="23"/>
      <c r="C826" s="23"/>
    </row>
    <row r="827">
      <c r="A827" s="30"/>
      <c r="B827" s="23"/>
      <c r="C827" s="23"/>
    </row>
    <row r="828">
      <c r="A828" s="30"/>
      <c r="B828" s="23"/>
      <c r="C828" s="23"/>
    </row>
    <row r="829">
      <c r="A829" s="30"/>
      <c r="B829" s="23"/>
      <c r="C829" s="23"/>
    </row>
    <row r="830">
      <c r="A830" s="30"/>
      <c r="B830" s="23"/>
      <c r="C830" s="23"/>
    </row>
    <row r="831">
      <c r="A831" s="30"/>
      <c r="B831" s="23"/>
      <c r="C831" s="23"/>
    </row>
    <row r="832">
      <c r="A832" s="30"/>
      <c r="B832" s="23"/>
      <c r="C832" s="23"/>
    </row>
    <row r="833">
      <c r="A833" s="30"/>
      <c r="B833" s="23"/>
      <c r="C833" s="23"/>
    </row>
    <row r="834">
      <c r="A834" s="30"/>
      <c r="B834" s="23"/>
      <c r="C834" s="23"/>
    </row>
    <row r="835">
      <c r="A835" s="30"/>
      <c r="B835" s="23"/>
      <c r="C835" s="23"/>
    </row>
    <row r="836">
      <c r="A836" s="30"/>
      <c r="B836" s="23"/>
      <c r="C836" s="23"/>
    </row>
    <row r="837">
      <c r="A837" s="30"/>
      <c r="B837" s="23"/>
      <c r="C837" s="23"/>
    </row>
    <row r="838">
      <c r="A838" s="30"/>
      <c r="B838" s="23"/>
      <c r="C838" s="23"/>
    </row>
    <row r="839">
      <c r="A839" s="30"/>
      <c r="B839" s="23"/>
      <c r="C839" s="23"/>
    </row>
    <row r="840">
      <c r="A840" s="30"/>
      <c r="B840" s="23"/>
      <c r="C840" s="23"/>
    </row>
    <row r="841">
      <c r="A841" s="30"/>
      <c r="B841" s="23"/>
      <c r="C841" s="23"/>
    </row>
    <row r="842">
      <c r="A842" s="30"/>
      <c r="B842" s="23"/>
      <c r="C842" s="23"/>
    </row>
    <row r="843">
      <c r="A843" s="30"/>
      <c r="B843" s="23"/>
      <c r="C843" s="23"/>
    </row>
    <row r="844">
      <c r="A844" s="30"/>
      <c r="B844" s="23"/>
      <c r="C844" s="23"/>
    </row>
    <row r="845">
      <c r="A845" s="30"/>
      <c r="B845" s="23"/>
      <c r="C845" s="23"/>
    </row>
    <row r="846">
      <c r="A846" s="30"/>
      <c r="B846" s="23"/>
      <c r="C846" s="23"/>
    </row>
    <row r="847">
      <c r="A847" s="30"/>
      <c r="B847" s="23"/>
      <c r="C847" s="23"/>
    </row>
    <row r="848">
      <c r="A848" s="30"/>
      <c r="B848" s="23"/>
      <c r="C848" s="23"/>
    </row>
    <row r="849">
      <c r="A849" s="30"/>
      <c r="B849" s="23"/>
      <c r="C849" s="23"/>
    </row>
    <row r="850">
      <c r="A850" s="30"/>
      <c r="B850" s="23"/>
      <c r="C850" s="23"/>
    </row>
    <row r="851">
      <c r="A851" s="30"/>
      <c r="B851" s="23"/>
      <c r="C851" s="23"/>
    </row>
    <row r="852">
      <c r="A852" s="30"/>
      <c r="B852" s="23"/>
      <c r="C852" s="23"/>
    </row>
    <row r="853">
      <c r="A853" s="30"/>
      <c r="B853" s="23"/>
      <c r="C853" s="23"/>
    </row>
    <row r="854">
      <c r="A854" s="30"/>
      <c r="B854" s="23"/>
      <c r="C854" s="23"/>
    </row>
    <row r="855">
      <c r="A855" s="30"/>
      <c r="B855" s="23"/>
      <c r="C855" s="23"/>
    </row>
    <row r="856">
      <c r="A856" s="30"/>
      <c r="B856" s="23"/>
      <c r="C856" s="23"/>
    </row>
    <row r="857">
      <c r="A857" s="30"/>
      <c r="B857" s="23"/>
      <c r="C857" s="23"/>
    </row>
    <row r="858">
      <c r="A858" s="30"/>
      <c r="B858" s="23"/>
      <c r="C858" s="23"/>
    </row>
    <row r="859">
      <c r="A859" s="30"/>
      <c r="B859" s="23"/>
      <c r="C859" s="23"/>
    </row>
    <row r="860">
      <c r="A860" s="30"/>
      <c r="B860" s="23"/>
      <c r="C860" s="23"/>
    </row>
    <row r="861">
      <c r="A861" s="30"/>
      <c r="B861" s="23"/>
      <c r="C861" s="23"/>
    </row>
    <row r="862">
      <c r="A862" s="30"/>
      <c r="B862" s="23"/>
      <c r="C862" s="23"/>
    </row>
    <row r="863">
      <c r="A863" s="30"/>
      <c r="B863" s="23"/>
      <c r="C863" s="23"/>
    </row>
    <row r="864">
      <c r="A864" s="30"/>
      <c r="B864" s="23"/>
      <c r="C864" s="23"/>
    </row>
    <row r="865">
      <c r="A865" s="30"/>
      <c r="B865" s="23"/>
      <c r="C865" s="23"/>
    </row>
    <row r="866">
      <c r="A866" s="30"/>
      <c r="B866" s="23"/>
      <c r="C866" s="23"/>
    </row>
    <row r="867">
      <c r="A867" s="30"/>
      <c r="B867" s="23"/>
      <c r="C867" s="23"/>
    </row>
    <row r="868">
      <c r="A868" s="30"/>
      <c r="B868" s="23"/>
      <c r="C868" s="23"/>
    </row>
    <row r="869">
      <c r="A869" s="30"/>
      <c r="B869" s="23"/>
      <c r="C869" s="23"/>
    </row>
    <row r="870">
      <c r="A870" s="30"/>
      <c r="B870" s="23"/>
      <c r="C870" s="23"/>
    </row>
    <row r="871">
      <c r="A871" s="30"/>
      <c r="B871" s="23"/>
      <c r="C871" s="23"/>
    </row>
    <row r="872">
      <c r="A872" s="30"/>
      <c r="B872" s="23"/>
      <c r="C872" s="23"/>
    </row>
    <row r="873">
      <c r="A873" s="30"/>
      <c r="B873" s="23"/>
      <c r="C873" s="23"/>
    </row>
    <row r="874">
      <c r="A874" s="30"/>
      <c r="B874" s="23"/>
      <c r="C874" s="23"/>
    </row>
    <row r="875">
      <c r="A875" s="30"/>
      <c r="B875" s="23"/>
      <c r="C875" s="23"/>
    </row>
    <row r="876">
      <c r="A876" s="30"/>
      <c r="B876" s="23"/>
      <c r="C876" s="23"/>
    </row>
    <row r="877">
      <c r="A877" s="30"/>
      <c r="B877" s="23"/>
      <c r="C877" s="23"/>
    </row>
    <row r="878">
      <c r="A878" s="30"/>
      <c r="B878" s="23"/>
      <c r="C878" s="23"/>
    </row>
    <row r="879">
      <c r="A879" s="30"/>
      <c r="B879" s="23"/>
      <c r="C879" s="23"/>
    </row>
    <row r="880">
      <c r="A880" s="30"/>
      <c r="B880" s="23"/>
      <c r="C880" s="23"/>
    </row>
    <row r="881">
      <c r="A881" s="30"/>
      <c r="B881" s="23"/>
      <c r="C881" s="23"/>
    </row>
    <row r="882">
      <c r="A882" s="30"/>
      <c r="B882" s="23"/>
      <c r="C882" s="23"/>
    </row>
    <row r="883">
      <c r="A883" s="30"/>
      <c r="B883" s="23"/>
      <c r="C883" s="23"/>
    </row>
    <row r="884">
      <c r="A884" s="30"/>
      <c r="B884" s="23"/>
      <c r="C884" s="23"/>
    </row>
    <row r="885">
      <c r="A885" s="30"/>
      <c r="B885" s="23"/>
      <c r="C885" s="23"/>
    </row>
    <row r="886">
      <c r="A886" s="30"/>
      <c r="B886" s="23"/>
      <c r="C886" s="23"/>
    </row>
    <row r="887">
      <c r="A887" s="30"/>
      <c r="B887" s="23"/>
      <c r="C887" s="23"/>
    </row>
    <row r="888">
      <c r="A888" s="30"/>
      <c r="B888" s="23"/>
      <c r="C888" s="23"/>
    </row>
    <row r="889">
      <c r="A889" s="30"/>
      <c r="B889" s="23"/>
      <c r="C889" s="23"/>
    </row>
    <row r="890">
      <c r="A890" s="30"/>
      <c r="B890" s="23"/>
      <c r="C890" s="23"/>
    </row>
    <row r="891">
      <c r="A891" s="30"/>
      <c r="B891" s="23"/>
      <c r="C891" s="23"/>
    </row>
    <row r="892">
      <c r="A892" s="30"/>
      <c r="B892" s="23"/>
      <c r="C892" s="23"/>
    </row>
    <row r="893">
      <c r="A893" s="30"/>
      <c r="B893" s="23"/>
      <c r="C893" s="23"/>
    </row>
    <row r="894">
      <c r="A894" s="30"/>
      <c r="B894" s="23"/>
      <c r="C894" s="23"/>
    </row>
    <row r="895">
      <c r="A895" s="30"/>
      <c r="B895" s="23"/>
      <c r="C895" s="23"/>
    </row>
    <row r="896">
      <c r="A896" s="30"/>
      <c r="B896" s="23"/>
      <c r="C896" s="23"/>
    </row>
    <row r="897">
      <c r="A897" s="30"/>
      <c r="B897" s="23"/>
      <c r="C897" s="23"/>
    </row>
    <row r="898">
      <c r="A898" s="30"/>
      <c r="B898" s="23"/>
      <c r="C898" s="23"/>
    </row>
    <row r="899">
      <c r="A899" s="30"/>
      <c r="B899" s="23"/>
      <c r="C899" s="23"/>
    </row>
    <row r="900">
      <c r="A900" s="30"/>
      <c r="B900" s="23"/>
      <c r="C900" s="23"/>
    </row>
    <row r="901">
      <c r="A901" s="30"/>
      <c r="B901" s="23"/>
      <c r="C901" s="23"/>
    </row>
    <row r="902">
      <c r="A902" s="30"/>
      <c r="B902" s="23"/>
      <c r="C902" s="23"/>
    </row>
    <row r="903">
      <c r="A903" s="30"/>
      <c r="B903" s="23"/>
      <c r="C903" s="23"/>
    </row>
    <row r="904">
      <c r="A904" s="30"/>
      <c r="B904" s="23"/>
      <c r="C904" s="23"/>
    </row>
    <row r="905">
      <c r="A905" s="30"/>
      <c r="B905" s="23"/>
      <c r="C905" s="23"/>
    </row>
    <row r="906">
      <c r="A906" s="30"/>
      <c r="B906" s="23"/>
      <c r="C906" s="23"/>
    </row>
    <row r="907">
      <c r="A907" s="30"/>
      <c r="B907" s="23"/>
      <c r="C907" s="23"/>
    </row>
    <row r="908">
      <c r="A908" s="30"/>
      <c r="B908" s="23"/>
      <c r="C908" s="23"/>
    </row>
    <row r="909">
      <c r="A909" s="30"/>
      <c r="B909" s="23"/>
      <c r="C909" s="23"/>
    </row>
    <row r="910">
      <c r="A910" s="30"/>
      <c r="B910" s="23"/>
      <c r="C910" s="23"/>
    </row>
    <row r="911">
      <c r="A911" s="30"/>
      <c r="B911" s="23"/>
      <c r="C911" s="23"/>
    </row>
    <row r="912">
      <c r="A912" s="30"/>
      <c r="B912" s="23"/>
      <c r="C912" s="23"/>
    </row>
    <row r="913">
      <c r="A913" s="30"/>
      <c r="B913" s="23"/>
      <c r="C913" s="23"/>
    </row>
    <row r="914">
      <c r="A914" s="30"/>
      <c r="B914" s="23"/>
      <c r="C914" s="23"/>
    </row>
    <row r="915">
      <c r="A915" s="30"/>
      <c r="B915" s="23"/>
      <c r="C915" s="23"/>
    </row>
    <row r="916">
      <c r="A916" s="30"/>
      <c r="B916" s="23"/>
      <c r="C916" s="23"/>
    </row>
    <row r="917">
      <c r="A917" s="30"/>
      <c r="B917" s="23"/>
      <c r="C917" s="23"/>
    </row>
    <row r="918">
      <c r="A918" s="30"/>
      <c r="B918" s="23"/>
      <c r="C918" s="23"/>
    </row>
    <row r="919">
      <c r="A919" s="30"/>
      <c r="B919" s="23"/>
      <c r="C919" s="23"/>
    </row>
    <row r="920">
      <c r="A920" s="30"/>
      <c r="B920" s="23"/>
      <c r="C920" s="23"/>
    </row>
    <row r="921">
      <c r="A921" s="30"/>
      <c r="B921" s="23"/>
      <c r="C921" s="23"/>
    </row>
    <row r="922">
      <c r="A922" s="30"/>
      <c r="B922" s="23"/>
      <c r="C922" s="23"/>
    </row>
    <row r="923">
      <c r="A923" s="30"/>
      <c r="B923" s="23"/>
      <c r="C923" s="23"/>
    </row>
    <row r="924">
      <c r="A924" s="30"/>
      <c r="B924" s="23"/>
      <c r="C924" s="23"/>
    </row>
    <row r="925">
      <c r="A925" s="30"/>
      <c r="B925" s="23"/>
      <c r="C925" s="23"/>
    </row>
    <row r="926">
      <c r="A926" s="30"/>
      <c r="B926" s="23"/>
      <c r="C926" s="23"/>
    </row>
    <row r="927">
      <c r="A927" s="30"/>
      <c r="B927" s="23"/>
      <c r="C927" s="23"/>
    </row>
    <row r="928">
      <c r="A928" s="30"/>
      <c r="B928" s="23"/>
      <c r="C928" s="23"/>
    </row>
    <row r="929">
      <c r="A929" s="30"/>
      <c r="B929" s="23"/>
      <c r="C929" s="23"/>
    </row>
    <row r="930">
      <c r="A930" s="30"/>
      <c r="B930" s="23"/>
      <c r="C930" s="23"/>
    </row>
    <row r="931">
      <c r="A931" s="30"/>
      <c r="B931" s="23"/>
      <c r="C931" s="23"/>
    </row>
    <row r="932">
      <c r="A932" s="30"/>
      <c r="B932" s="23"/>
      <c r="C932" s="23"/>
    </row>
    <row r="933">
      <c r="A933" s="30"/>
      <c r="B933" s="23"/>
      <c r="C933" s="23"/>
    </row>
    <row r="934">
      <c r="A934" s="30"/>
      <c r="B934" s="23"/>
      <c r="C934" s="23"/>
    </row>
    <row r="935">
      <c r="A935" s="30"/>
      <c r="B935" s="23"/>
      <c r="C935" s="23"/>
    </row>
    <row r="936">
      <c r="A936" s="30"/>
      <c r="B936" s="23"/>
      <c r="C936" s="23"/>
    </row>
    <row r="937">
      <c r="A937" s="30"/>
      <c r="B937" s="23"/>
      <c r="C937" s="23"/>
    </row>
    <row r="938">
      <c r="A938" s="30"/>
      <c r="B938" s="23"/>
      <c r="C938" s="23"/>
    </row>
    <row r="939">
      <c r="A939" s="30"/>
      <c r="B939" s="23"/>
      <c r="C939" s="23"/>
    </row>
    <row r="940">
      <c r="A940" s="30"/>
      <c r="B940" s="23"/>
      <c r="C940" s="23"/>
    </row>
    <row r="941">
      <c r="A941" s="30"/>
      <c r="B941" s="23"/>
      <c r="C941" s="23"/>
    </row>
    <row r="942">
      <c r="A942" s="30"/>
      <c r="B942" s="23"/>
      <c r="C942" s="23"/>
    </row>
    <row r="943">
      <c r="A943" s="30"/>
      <c r="B943" s="23"/>
      <c r="C943" s="23"/>
    </row>
    <row r="944">
      <c r="A944" s="30"/>
      <c r="B944" s="23"/>
      <c r="C944" s="23"/>
    </row>
    <row r="945">
      <c r="A945" s="30"/>
      <c r="B945" s="23"/>
      <c r="C945" s="23"/>
    </row>
    <row r="946">
      <c r="A946" s="30"/>
      <c r="B946" s="23"/>
      <c r="C946" s="23"/>
    </row>
    <row r="947">
      <c r="A947" s="30"/>
      <c r="B947" s="23"/>
      <c r="C947" s="23"/>
    </row>
    <row r="948">
      <c r="A948" s="30"/>
      <c r="B948" s="23"/>
      <c r="C948" s="23"/>
    </row>
    <row r="949">
      <c r="A949" s="30"/>
      <c r="B949" s="23"/>
      <c r="C949" s="23"/>
    </row>
    <row r="950">
      <c r="A950" s="30"/>
      <c r="B950" s="23"/>
      <c r="C950" s="23"/>
    </row>
    <row r="951">
      <c r="A951" s="30"/>
      <c r="B951" s="23"/>
      <c r="C951" s="23"/>
    </row>
    <row r="952">
      <c r="A952" s="30"/>
      <c r="B952" s="23"/>
      <c r="C952" s="23"/>
    </row>
    <row r="953">
      <c r="A953" s="30"/>
      <c r="B953" s="23"/>
      <c r="C953" s="23"/>
    </row>
    <row r="954">
      <c r="A954" s="30"/>
      <c r="B954" s="23"/>
      <c r="C954" s="23"/>
    </row>
    <row r="955">
      <c r="A955" s="30"/>
      <c r="B955" s="23"/>
      <c r="C955" s="23"/>
    </row>
    <row r="956">
      <c r="A956" s="30"/>
      <c r="B956" s="23"/>
      <c r="C956" s="23"/>
    </row>
    <row r="957">
      <c r="A957" s="30"/>
      <c r="B957" s="23"/>
      <c r="C957" s="23"/>
    </row>
    <row r="958">
      <c r="A958" s="30"/>
      <c r="B958" s="23"/>
      <c r="C958" s="23"/>
    </row>
    <row r="959">
      <c r="A959" s="30"/>
      <c r="B959" s="23"/>
      <c r="C959" s="23"/>
    </row>
    <row r="960">
      <c r="A960" s="30"/>
      <c r="B960" s="23"/>
      <c r="C960" s="23"/>
    </row>
    <row r="961">
      <c r="A961" s="30"/>
      <c r="B961" s="23"/>
      <c r="C961" s="23"/>
    </row>
    <row r="962">
      <c r="A962" s="30"/>
      <c r="B962" s="23"/>
      <c r="C962" s="23"/>
    </row>
    <row r="963">
      <c r="A963" s="30"/>
      <c r="B963" s="23"/>
      <c r="C963" s="23"/>
    </row>
    <row r="964">
      <c r="A964" s="30"/>
      <c r="B964" s="23"/>
      <c r="C964" s="23"/>
    </row>
    <row r="965">
      <c r="A965" s="30"/>
      <c r="B965" s="23"/>
      <c r="C965" s="23"/>
    </row>
    <row r="966">
      <c r="A966" s="30"/>
      <c r="B966" s="23"/>
      <c r="C966" s="23"/>
    </row>
    <row r="967">
      <c r="A967" s="30"/>
      <c r="B967" s="23"/>
      <c r="C967" s="23"/>
    </row>
    <row r="968">
      <c r="A968" s="30"/>
      <c r="B968" s="23"/>
      <c r="C968" s="23"/>
    </row>
    <row r="969">
      <c r="A969" s="30"/>
      <c r="B969" s="23"/>
      <c r="C969" s="23"/>
    </row>
    <row r="970">
      <c r="A970" s="30"/>
      <c r="B970" s="23"/>
      <c r="C970" s="23"/>
    </row>
    <row r="971">
      <c r="A971" s="30"/>
      <c r="B971" s="23"/>
      <c r="C971" s="23"/>
    </row>
    <row r="972">
      <c r="A972" s="30"/>
      <c r="B972" s="23"/>
      <c r="C972" s="23"/>
    </row>
    <row r="973">
      <c r="A973" s="30"/>
      <c r="B973" s="23"/>
      <c r="C973" s="23"/>
    </row>
    <row r="974">
      <c r="A974" s="30"/>
      <c r="B974" s="23"/>
      <c r="C974" s="23"/>
    </row>
    <row r="975">
      <c r="A975" s="30"/>
      <c r="B975" s="23"/>
      <c r="C975" s="23"/>
    </row>
    <row r="976">
      <c r="A976" s="30"/>
      <c r="B976" s="23"/>
      <c r="C976" s="23"/>
    </row>
    <row r="977">
      <c r="A977" s="30"/>
      <c r="B977" s="23"/>
      <c r="C977" s="23"/>
    </row>
    <row r="978">
      <c r="A978" s="30"/>
      <c r="B978" s="23"/>
      <c r="C978" s="23"/>
    </row>
    <row r="979">
      <c r="A979" s="30"/>
      <c r="B979" s="23"/>
      <c r="C979" s="23"/>
    </row>
    <row r="980">
      <c r="A980" s="30"/>
      <c r="B980" s="23"/>
      <c r="C980" s="23"/>
    </row>
    <row r="981">
      <c r="A981" s="30"/>
      <c r="B981" s="23"/>
      <c r="C981" s="23"/>
    </row>
    <row r="982">
      <c r="A982" s="30"/>
      <c r="B982" s="23"/>
      <c r="C982" s="23"/>
    </row>
    <row r="983">
      <c r="A983" s="30"/>
      <c r="B983" s="23"/>
      <c r="C983" s="23"/>
    </row>
    <row r="984">
      <c r="A984" s="30"/>
      <c r="B984" s="23"/>
      <c r="C984" s="23"/>
    </row>
    <row r="985">
      <c r="A985" s="30"/>
      <c r="B985" s="23"/>
      <c r="C985" s="23"/>
    </row>
    <row r="986">
      <c r="A986" s="30"/>
      <c r="B986" s="23"/>
      <c r="C986" s="23"/>
    </row>
    <row r="987">
      <c r="A987" s="30"/>
      <c r="B987" s="23"/>
      <c r="C987" s="23"/>
    </row>
    <row r="988">
      <c r="A988" s="30"/>
      <c r="B988" s="23"/>
      <c r="C988" s="23"/>
    </row>
    <row r="989">
      <c r="A989" s="30"/>
      <c r="B989" s="23"/>
      <c r="C989" s="23"/>
    </row>
    <row r="990">
      <c r="A990" s="30"/>
      <c r="B990" s="23"/>
      <c r="C990" s="23"/>
    </row>
    <row r="991">
      <c r="A991" s="30"/>
      <c r="B991" s="23"/>
      <c r="C991" s="23"/>
    </row>
    <row r="992">
      <c r="A992" s="30"/>
      <c r="B992" s="23"/>
      <c r="C992" s="23"/>
    </row>
    <row r="993">
      <c r="A993" s="30"/>
      <c r="B993" s="23"/>
      <c r="C993" s="23"/>
    </row>
    <row r="994">
      <c r="A994" s="30"/>
      <c r="B994" s="23"/>
      <c r="C994" s="23"/>
    </row>
    <row r="995">
      <c r="A995" s="30"/>
      <c r="B995" s="23"/>
      <c r="C995" s="23"/>
    </row>
    <row r="996">
      <c r="A996" s="30"/>
      <c r="B996" s="23"/>
      <c r="C996" s="23"/>
    </row>
    <row r="997">
      <c r="A997" s="30"/>
      <c r="B997" s="23"/>
      <c r="C997" s="23"/>
    </row>
    <row r="998">
      <c r="A998" s="30"/>
      <c r="B998" s="23"/>
      <c r="C998" s="23"/>
    </row>
    <row r="999">
      <c r="A999" s="30"/>
      <c r="B999" s="23"/>
      <c r="C999" s="23"/>
    </row>
    <row r="1000">
      <c r="A1000" s="30"/>
      <c r="B1000" s="23"/>
      <c r="C1000" s="23"/>
    </row>
  </sheetData>
  <hyperlinks>
    <hyperlink r:id="rId1" ref="B1"/>
    <hyperlink r:id="rId2" ref="C1"/>
    <hyperlink r:id="rId3" ref="F1"/>
    <hyperlink r:id="rId4" ref="G1"/>
  </hyperlinks>
  <drawing r:id="rId5"/>
  <tableParts count="2">
    <tablePart r:id="rId8"/>
    <tablePart r:id="rId9"/>
  </tableParts>
</worksheet>
</file>